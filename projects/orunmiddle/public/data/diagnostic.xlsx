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C:\Users\5554k\OneDrive\바탕 화면\"/>
    </mc:Choice>
  </mc:AlternateContent>
  <xr:revisionPtr revIDLastSave="0" documentId="13_ncr:1_{D3B4E2B1-3A44-476A-9B23-FE89A9BF35F7}" xr6:coauthVersionLast="47" xr6:coauthVersionMax="47" xr10:uidLastSave="{00000000-0000-0000-0000-000000000000}"/>
  <bookViews>
    <workbookView xWindow="-110" yWindow="-110" windowWidth="38620" windowHeight="21100" firstSheet="9" activeTab="9" xr2:uid="{00000000-000D-0000-FFFF-FFFF00000000}"/>
  </bookViews>
  <sheets>
    <sheet name="문법유형" sheetId="5" r:id="rId1"/>
    <sheet name="중1FO(문법주관식)" sheetId="1" r:id="rId2"/>
    <sheet name="중1INTER(문법주관식)" sheetId="2" r:id="rId3"/>
    <sheet name="중1AD(문법주관식)" sheetId="3" r:id="rId4"/>
    <sheet name="중1IVY(문법주관식)" sheetId="4" r:id="rId5"/>
    <sheet name="중1FO(단어누적)" sheetId="6" r:id="rId6"/>
    <sheet name="중1INTER(단어누적)" sheetId="7" r:id="rId7"/>
    <sheet name="중1AD(단어누적)" sheetId="8" r:id="rId8"/>
    <sheet name="중1IVY(단어누적)" sheetId="9" r:id="rId9"/>
    <sheet name="지침" sheetId="17" r:id="rId10"/>
    <sheet name="이름(명렬표)" sheetId="10" r:id="rId11"/>
    <sheet name="성적표(상담용)" sheetId="11" r:id="rId12"/>
    <sheet name="중1(문법)" sheetId="14" r:id="rId13"/>
    <sheet name="중1(문법)(영역별 성취도)" sheetId="15" r:id="rId14"/>
    <sheet name="중1(독해)" sheetId="12" r:id="rId15"/>
    <sheet name="중1(단어누적)" sheetId="13" r:id="rId16"/>
  </sheets>
  <definedNames>
    <definedName name="이름">'이름(명렬표)'!$A:$A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1" l="1"/>
  <c r="H16" i="11"/>
  <c r="G16" i="11"/>
  <c r="F16" i="11"/>
  <c r="AC104" i="15"/>
  <c r="AD104" i="15"/>
  <c r="AE104" i="15"/>
  <c r="AF104" i="15"/>
  <c r="AC105" i="15"/>
  <c r="AD105" i="15"/>
  <c r="AE105" i="15"/>
  <c r="AF105" i="15"/>
  <c r="AC106" i="15"/>
  <c r="AD106" i="15"/>
  <c r="AE106" i="15"/>
  <c r="AF106" i="15"/>
  <c r="AC107" i="15"/>
  <c r="AD107" i="15"/>
  <c r="AE107" i="15"/>
  <c r="AF107" i="15"/>
  <c r="AC108" i="15"/>
  <c r="AD108" i="15"/>
  <c r="AE108" i="15"/>
  <c r="AF108" i="15"/>
  <c r="AC109" i="15"/>
  <c r="AD109" i="15"/>
  <c r="AE109" i="15"/>
  <c r="AF109" i="15"/>
  <c r="AC110" i="15"/>
  <c r="AD110" i="15"/>
  <c r="AE110" i="15"/>
  <c r="AF110" i="15"/>
  <c r="AC111" i="15"/>
  <c r="AD111" i="15"/>
  <c r="AE111" i="15"/>
  <c r="AF111" i="15"/>
  <c r="AF103" i="15"/>
  <c r="AE103" i="15"/>
  <c r="AD103" i="15"/>
  <c r="AC103" i="15"/>
  <c r="AC73" i="15"/>
  <c r="AD73" i="15"/>
  <c r="AE73" i="15"/>
  <c r="AC74" i="15"/>
  <c r="AD74" i="15"/>
  <c r="AE74" i="15"/>
  <c r="AC75" i="15"/>
  <c r="AD75" i="15"/>
  <c r="AE75" i="15"/>
  <c r="AC76" i="15"/>
  <c r="AD76" i="15"/>
  <c r="AE76" i="15"/>
  <c r="AC77" i="15"/>
  <c r="AD77" i="15"/>
  <c r="AE77" i="15"/>
  <c r="AC78" i="15"/>
  <c r="AD78" i="15"/>
  <c r="AE78" i="15"/>
  <c r="AC79" i="15"/>
  <c r="AD79" i="15"/>
  <c r="AE79" i="15"/>
  <c r="AC80" i="15"/>
  <c r="AD80" i="15"/>
  <c r="AE80" i="15"/>
  <c r="AC81" i="15"/>
  <c r="AD81" i="15"/>
  <c r="AE81" i="15"/>
  <c r="AC82" i="15"/>
  <c r="AD82" i="15"/>
  <c r="AE82" i="15"/>
  <c r="AC83" i="15"/>
  <c r="AD83" i="15"/>
  <c r="AE83" i="15"/>
  <c r="AC84" i="15"/>
  <c r="AD84" i="15"/>
  <c r="AE84" i="15"/>
  <c r="AC85" i="15"/>
  <c r="AD85" i="15"/>
  <c r="AE85" i="15"/>
  <c r="AC86" i="15"/>
  <c r="AD86" i="15"/>
  <c r="AE86" i="15"/>
  <c r="AC87" i="15"/>
  <c r="AD87" i="15"/>
  <c r="AE87" i="15"/>
  <c r="AC88" i="15"/>
  <c r="AD88" i="15"/>
  <c r="AE88" i="15"/>
  <c r="AC89" i="15"/>
  <c r="AD89" i="15"/>
  <c r="AE89" i="15"/>
  <c r="AC90" i="15"/>
  <c r="AD90" i="15"/>
  <c r="AE90" i="15"/>
  <c r="AC91" i="15"/>
  <c r="AD91" i="15"/>
  <c r="AE91" i="15"/>
  <c r="AC92" i="15"/>
  <c r="AD92" i="15"/>
  <c r="AE92" i="15"/>
  <c r="AC93" i="15"/>
  <c r="AD93" i="15"/>
  <c r="AE93" i="15"/>
  <c r="AC94" i="15"/>
  <c r="AD94" i="15"/>
  <c r="AE94" i="15"/>
  <c r="AC95" i="15"/>
  <c r="AD95" i="15"/>
  <c r="AE95" i="15"/>
  <c r="AC96" i="15"/>
  <c r="AD96" i="15"/>
  <c r="AE96" i="15"/>
  <c r="AC97" i="15"/>
  <c r="AD97" i="15"/>
  <c r="AE97" i="15"/>
  <c r="AC98" i="15"/>
  <c r="AD98" i="15"/>
  <c r="AE98" i="15"/>
  <c r="AC99" i="15"/>
  <c r="AD99" i="15"/>
  <c r="AE99" i="15"/>
  <c r="AC100" i="15"/>
  <c r="AD100" i="15"/>
  <c r="AE100" i="15"/>
  <c r="AC48" i="15"/>
  <c r="AD48" i="15"/>
  <c r="AE48" i="15"/>
  <c r="AC49" i="15"/>
  <c r="AD49" i="15"/>
  <c r="AE49" i="15"/>
  <c r="AC50" i="15"/>
  <c r="AD50" i="15"/>
  <c r="AE50" i="15"/>
  <c r="AC51" i="15"/>
  <c r="AD51" i="15"/>
  <c r="AE51" i="15"/>
  <c r="AC52" i="15"/>
  <c r="AD52" i="15"/>
  <c r="AE52" i="15"/>
  <c r="AC53" i="15"/>
  <c r="AD53" i="15"/>
  <c r="AE53" i="15"/>
  <c r="AC54" i="15"/>
  <c r="AD54" i="15"/>
  <c r="AE54" i="15"/>
  <c r="AC55" i="15"/>
  <c r="AD55" i="15"/>
  <c r="AE55" i="15"/>
  <c r="AC56" i="15"/>
  <c r="AD56" i="15"/>
  <c r="AE56" i="15"/>
  <c r="AC57" i="15"/>
  <c r="AD57" i="15"/>
  <c r="AE57" i="15"/>
  <c r="AC58" i="15"/>
  <c r="AD58" i="15"/>
  <c r="AE58" i="15"/>
  <c r="AC59" i="15"/>
  <c r="AD59" i="15"/>
  <c r="AE59" i="15"/>
  <c r="AC60" i="15"/>
  <c r="AD60" i="15"/>
  <c r="AE60" i="15"/>
  <c r="AC61" i="15"/>
  <c r="AD61" i="15"/>
  <c r="AE61" i="15"/>
  <c r="AC62" i="15"/>
  <c r="AD62" i="15"/>
  <c r="AE62" i="15"/>
  <c r="AC63" i="15"/>
  <c r="AD63" i="15"/>
  <c r="AE63" i="15"/>
  <c r="AC64" i="15"/>
  <c r="AD64" i="15"/>
  <c r="AE64" i="15"/>
  <c r="AC65" i="15"/>
  <c r="AD65" i="15"/>
  <c r="AE65" i="15"/>
  <c r="AC66" i="15"/>
  <c r="AD66" i="15"/>
  <c r="AE66" i="15"/>
  <c r="AC67" i="15"/>
  <c r="AD67" i="15"/>
  <c r="AE67" i="15"/>
  <c r="AC68" i="15"/>
  <c r="AD68" i="15"/>
  <c r="AE68" i="15"/>
  <c r="AC69" i="15"/>
  <c r="AD69" i="15"/>
  <c r="AE69" i="15"/>
  <c r="AC70" i="15"/>
  <c r="AD70" i="15"/>
  <c r="AE70" i="15"/>
  <c r="AE47" i="15"/>
  <c r="AD47" i="15"/>
  <c r="AC47" i="15"/>
  <c r="AC4" i="15"/>
  <c r="AD4" i="15"/>
  <c r="AE4" i="15"/>
  <c r="AC5" i="15"/>
  <c r="AD5" i="15"/>
  <c r="AE5" i="15"/>
  <c r="AC6" i="15"/>
  <c r="AD6" i="15"/>
  <c r="AE6" i="15"/>
  <c r="AC7" i="15"/>
  <c r="AD7" i="15"/>
  <c r="AE7" i="15"/>
  <c r="AC8" i="15"/>
  <c r="AD8" i="15"/>
  <c r="AE8" i="15"/>
  <c r="AC9" i="15"/>
  <c r="AD9" i="15"/>
  <c r="AE9" i="15"/>
  <c r="AC10" i="15"/>
  <c r="AD10" i="15"/>
  <c r="AE10" i="15"/>
  <c r="AC11" i="15"/>
  <c r="AD11" i="15"/>
  <c r="AE11" i="15"/>
  <c r="AC12" i="15"/>
  <c r="AD12" i="15"/>
  <c r="AE12" i="15"/>
  <c r="AC13" i="15"/>
  <c r="AD13" i="15"/>
  <c r="AE13" i="15"/>
  <c r="AC14" i="15"/>
  <c r="AD14" i="15"/>
  <c r="AE14" i="15"/>
  <c r="AC15" i="15"/>
  <c r="AD15" i="15"/>
  <c r="AE15" i="15"/>
  <c r="AC16" i="15"/>
  <c r="AD16" i="15"/>
  <c r="AE16" i="15"/>
  <c r="AC17" i="15"/>
  <c r="AD17" i="15"/>
  <c r="AE17" i="15"/>
  <c r="AC18" i="15"/>
  <c r="AD18" i="15"/>
  <c r="AE18" i="15"/>
  <c r="AC19" i="15"/>
  <c r="AD19" i="15"/>
  <c r="AE19" i="15"/>
  <c r="AC20" i="15"/>
  <c r="AD20" i="15"/>
  <c r="AE20" i="15"/>
  <c r="AC21" i="15"/>
  <c r="AD21" i="15"/>
  <c r="AE21" i="15"/>
  <c r="AC22" i="15"/>
  <c r="AD22" i="15"/>
  <c r="AE22" i="15"/>
  <c r="AC23" i="15"/>
  <c r="AD23" i="15"/>
  <c r="AE23" i="15"/>
  <c r="AC24" i="15"/>
  <c r="AD24" i="15"/>
  <c r="AE24" i="15"/>
  <c r="AC25" i="15"/>
  <c r="AD25" i="15"/>
  <c r="AE25" i="15"/>
  <c r="AC26" i="15"/>
  <c r="AD26" i="15"/>
  <c r="AE26" i="15"/>
  <c r="AC27" i="15"/>
  <c r="AD27" i="15"/>
  <c r="AE27" i="15"/>
  <c r="AC28" i="15"/>
  <c r="AD28" i="15"/>
  <c r="AE28" i="15"/>
  <c r="AC29" i="15"/>
  <c r="AD29" i="15"/>
  <c r="AE29" i="15"/>
  <c r="AC30" i="15"/>
  <c r="AD30" i="15"/>
  <c r="AE30" i="15"/>
  <c r="AC31" i="15"/>
  <c r="AD31" i="15"/>
  <c r="AE31" i="15"/>
  <c r="AC32" i="15"/>
  <c r="AD32" i="15"/>
  <c r="AE32" i="15"/>
  <c r="AC33" i="15"/>
  <c r="AD33" i="15"/>
  <c r="AE33" i="15"/>
  <c r="AC34" i="15"/>
  <c r="AD34" i="15"/>
  <c r="AE34" i="15"/>
  <c r="AC35" i="15"/>
  <c r="AD35" i="15"/>
  <c r="AE35" i="15"/>
  <c r="AC36" i="15"/>
  <c r="AD36" i="15"/>
  <c r="AE36" i="15"/>
  <c r="AC37" i="15"/>
  <c r="AD37" i="15"/>
  <c r="AE37" i="15"/>
  <c r="AC38" i="15"/>
  <c r="AD38" i="15"/>
  <c r="AE38" i="15"/>
  <c r="AC39" i="15"/>
  <c r="AD39" i="15"/>
  <c r="AE39" i="15"/>
  <c r="AC40" i="15"/>
  <c r="AD40" i="15"/>
  <c r="AE40" i="15"/>
  <c r="AC41" i="15"/>
  <c r="AD41" i="15"/>
  <c r="AE41" i="15"/>
  <c r="AC42" i="15"/>
  <c r="AD42" i="15"/>
  <c r="AE42" i="15"/>
  <c r="AC43" i="15"/>
  <c r="AD43" i="15"/>
  <c r="AE43" i="15"/>
  <c r="AC44" i="15"/>
  <c r="AD44" i="15"/>
  <c r="AE44" i="15"/>
  <c r="AE3" i="15"/>
  <c r="AD3" i="15"/>
  <c r="AC3" i="15"/>
  <c r="D16" i="11"/>
  <c r="C16" i="11"/>
  <c r="C7" i="11"/>
  <c r="AI4" i="14"/>
  <c r="AJ4" i="14"/>
  <c r="AI5" i="14"/>
  <c r="AJ5" i="14"/>
  <c r="AI6" i="14"/>
  <c r="AJ6" i="14"/>
  <c r="AI7" i="14"/>
  <c r="AJ7" i="14"/>
  <c r="AI8" i="14"/>
  <c r="AJ8" i="14"/>
  <c r="AI9" i="14"/>
  <c r="AJ9" i="14"/>
  <c r="AI10" i="14"/>
  <c r="AJ10" i="14"/>
  <c r="AI11" i="14"/>
  <c r="AJ11" i="14"/>
  <c r="AI12" i="14"/>
  <c r="AJ12" i="14"/>
  <c r="AI13" i="14"/>
  <c r="AJ13" i="14"/>
  <c r="AI14" i="14"/>
  <c r="AJ14" i="14"/>
  <c r="AI15" i="14"/>
  <c r="AJ15" i="14"/>
  <c r="AI16" i="14"/>
  <c r="AJ16" i="14"/>
  <c r="AI17" i="14"/>
  <c r="AJ17" i="14"/>
  <c r="AI18" i="14"/>
  <c r="AJ18" i="14"/>
  <c r="AI19" i="14"/>
  <c r="AJ19" i="14"/>
  <c r="AI20" i="14"/>
  <c r="AJ20" i="14"/>
  <c r="AI21" i="14"/>
  <c r="AJ21" i="14"/>
  <c r="AI22" i="14"/>
  <c r="AJ22" i="14"/>
  <c r="AI23" i="14"/>
  <c r="AJ23" i="14"/>
  <c r="AI24" i="14"/>
  <c r="AJ24" i="14"/>
  <c r="AI25" i="14"/>
  <c r="AJ25" i="14"/>
  <c r="AI26" i="14"/>
  <c r="AJ26" i="14"/>
  <c r="AI27" i="14"/>
  <c r="AJ27" i="14"/>
  <c r="AI28" i="14"/>
  <c r="AJ28" i="14"/>
  <c r="AI29" i="14"/>
  <c r="AJ29" i="14"/>
  <c r="AI30" i="14"/>
  <c r="AJ30" i="14"/>
  <c r="AI31" i="14"/>
  <c r="AJ31" i="14"/>
  <c r="AI32" i="14"/>
  <c r="AJ32" i="14"/>
  <c r="AI33" i="14"/>
  <c r="AJ33" i="14"/>
  <c r="AI34" i="14"/>
  <c r="AJ34" i="14"/>
  <c r="AI35" i="14"/>
  <c r="AJ35" i="14"/>
  <c r="AI36" i="14"/>
  <c r="AJ36" i="14"/>
  <c r="AI37" i="14"/>
  <c r="AJ37" i="14"/>
  <c r="AI38" i="14"/>
  <c r="AJ38" i="14"/>
  <c r="AI39" i="14"/>
  <c r="AJ39" i="14"/>
  <c r="AI40" i="14"/>
  <c r="AJ40" i="14"/>
  <c r="AI41" i="14"/>
  <c r="AJ41" i="14"/>
  <c r="AI42" i="14"/>
  <c r="AJ42" i="14"/>
  <c r="AI43" i="14"/>
  <c r="AJ43" i="14"/>
  <c r="AI44" i="14"/>
  <c r="AJ44" i="14"/>
  <c r="AI47" i="14"/>
  <c r="AJ47" i="14"/>
  <c r="AI48" i="14"/>
  <c r="AJ48" i="14"/>
  <c r="AI49" i="14"/>
  <c r="AJ49" i="14"/>
  <c r="AI50" i="14"/>
  <c r="AJ50" i="14"/>
  <c r="AI51" i="14"/>
  <c r="AJ51" i="14"/>
  <c r="AI52" i="14"/>
  <c r="AJ52" i="14"/>
  <c r="AI53" i="14"/>
  <c r="AJ53" i="14"/>
  <c r="AI54" i="14"/>
  <c r="AJ54" i="14"/>
  <c r="AI55" i="14"/>
  <c r="AJ55" i="14"/>
  <c r="AI56" i="14"/>
  <c r="AJ56" i="14"/>
  <c r="AI57" i="14"/>
  <c r="AJ57" i="14"/>
  <c r="AI58" i="14"/>
  <c r="AJ58" i="14"/>
  <c r="AI59" i="14"/>
  <c r="AJ59" i="14"/>
  <c r="AI60" i="14"/>
  <c r="AJ60" i="14"/>
  <c r="AI61" i="14"/>
  <c r="AJ61" i="14"/>
  <c r="AI62" i="14"/>
  <c r="AJ62" i="14"/>
  <c r="AI63" i="14"/>
  <c r="AJ63" i="14"/>
  <c r="AI64" i="14"/>
  <c r="AJ64" i="14"/>
  <c r="AI65" i="14"/>
  <c r="AJ65" i="14"/>
  <c r="AI66" i="14"/>
  <c r="AJ66" i="14"/>
  <c r="AI67" i="14"/>
  <c r="AJ67" i="14"/>
  <c r="AI68" i="14"/>
  <c r="AJ68" i="14"/>
  <c r="AI69" i="14"/>
  <c r="AJ69" i="14"/>
  <c r="AI70" i="14"/>
  <c r="AJ70" i="14"/>
  <c r="AI73" i="14"/>
  <c r="AJ73" i="14"/>
  <c r="AI74" i="14"/>
  <c r="AJ74" i="14"/>
  <c r="AI75" i="14"/>
  <c r="AJ75" i="14"/>
  <c r="AI76" i="14"/>
  <c r="AJ76" i="14"/>
  <c r="AI77" i="14"/>
  <c r="AJ77" i="14"/>
  <c r="AI78" i="14"/>
  <c r="AJ78" i="14"/>
  <c r="AI79" i="14"/>
  <c r="AJ79" i="14"/>
  <c r="AI80" i="14"/>
  <c r="AJ80" i="14"/>
  <c r="AI81" i="14"/>
  <c r="AJ81" i="14"/>
  <c r="AI82" i="14"/>
  <c r="AJ82" i="14"/>
  <c r="AI83" i="14"/>
  <c r="AJ83" i="14"/>
  <c r="AI84" i="14"/>
  <c r="AJ84" i="14"/>
  <c r="AI85" i="14"/>
  <c r="AJ85" i="14"/>
  <c r="AI86" i="14"/>
  <c r="AJ86" i="14"/>
  <c r="AI87" i="14"/>
  <c r="AJ87" i="14"/>
  <c r="AI88" i="14"/>
  <c r="AJ88" i="14"/>
  <c r="AI89" i="14"/>
  <c r="AJ89" i="14"/>
  <c r="AI90" i="14"/>
  <c r="AJ90" i="14"/>
  <c r="AI91" i="14"/>
  <c r="AJ91" i="14"/>
  <c r="AI92" i="14"/>
  <c r="AJ92" i="14"/>
  <c r="AI93" i="14"/>
  <c r="AJ93" i="14"/>
  <c r="AI94" i="14"/>
  <c r="AJ94" i="14"/>
  <c r="AI95" i="14"/>
  <c r="AJ95" i="14"/>
  <c r="AI96" i="14"/>
  <c r="AJ96" i="14"/>
  <c r="AI97" i="14"/>
  <c r="AJ97" i="14"/>
  <c r="AI98" i="14"/>
  <c r="AJ98" i="14"/>
  <c r="AI99" i="14"/>
  <c r="AJ99" i="14"/>
  <c r="AI100" i="14"/>
  <c r="AJ100" i="14"/>
  <c r="AI103" i="14"/>
  <c r="AJ103" i="14"/>
  <c r="AI104" i="14"/>
  <c r="AJ104" i="14"/>
  <c r="AI105" i="14"/>
  <c r="AJ105" i="14"/>
  <c r="AI106" i="14"/>
  <c r="AJ106" i="14"/>
  <c r="AI107" i="14"/>
  <c r="AJ107" i="14"/>
  <c r="AI108" i="14"/>
  <c r="AJ108" i="14"/>
  <c r="AI109" i="14"/>
  <c r="AJ109" i="14"/>
  <c r="AI110" i="14"/>
  <c r="AJ110" i="14"/>
  <c r="AI111" i="14"/>
  <c r="AJ111" i="14"/>
  <c r="AJ3" i="14"/>
  <c r="AI3" i="14"/>
  <c r="AE100" i="14"/>
  <c r="AE70" i="14"/>
  <c r="AE44" i="14"/>
  <c r="AD4" i="14"/>
  <c r="AD5" i="14"/>
  <c r="AD6"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2" i="14"/>
  <c r="AD33" i="14"/>
  <c r="AD34" i="14"/>
  <c r="AD35" i="14"/>
  <c r="AD36" i="14"/>
  <c r="AD37" i="14"/>
  <c r="AD38" i="14"/>
  <c r="AD39" i="14"/>
  <c r="AD40" i="14"/>
  <c r="AD41" i="14"/>
  <c r="AD42" i="14"/>
  <c r="AD43" i="14"/>
  <c r="AD44" i="14"/>
  <c r="AD47" i="14"/>
  <c r="AD48" i="14"/>
  <c r="AD49" i="14"/>
  <c r="AD50" i="14"/>
  <c r="AD51" i="14"/>
  <c r="AD52" i="14"/>
  <c r="AD53" i="14"/>
  <c r="AD54" i="14"/>
  <c r="AD55" i="14"/>
  <c r="AD56" i="14"/>
  <c r="AD57" i="14"/>
  <c r="AD58" i="14"/>
  <c r="AD59" i="14"/>
  <c r="AD60" i="14"/>
  <c r="AD61" i="14"/>
  <c r="AD62" i="14"/>
  <c r="AD63" i="14"/>
  <c r="AD64" i="14"/>
  <c r="AD65" i="14"/>
  <c r="AD66" i="14"/>
  <c r="AD67" i="14"/>
  <c r="AD68" i="14"/>
  <c r="AD69" i="14"/>
  <c r="AD70" i="14"/>
  <c r="AD73" i="14"/>
  <c r="AD74" i="14"/>
  <c r="AD75" i="14"/>
  <c r="AD76" i="14"/>
  <c r="AD77" i="14"/>
  <c r="AD78" i="14"/>
  <c r="AD79" i="14"/>
  <c r="AD80" i="14"/>
  <c r="AD81" i="14"/>
  <c r="AD82" i="14"/>
  <c r="AD83" i="14"/>
  <c r="AD84" i="14"/>
  <c r="AD85" i="14"/>
  <c r="AD86" i="14"/>
  <c r="AD87" i="14"/>
  <c r="AD88" i="14"/>
  <c r="AD89" i="14"/>
  <c r="AD90" i="14"/>
  <c r="AD91" i="14"/>
  <c r="AD92" i="14"/>
  <c r="AD93" i="14"/>
  <c r="AD94" i="14"/>
  <c r="AD95" i="14"/>
  <c r="AD96" i="14"/>
  <c r="AD97" i="14"/>
  <c r="AD98" i="14"/>
  <c r="AD99" i="14"/>
  <c r="AD100" i="14"/>
  <c r="AD103" i="14"/>
  <c r="AE111" i="14" s="1"/>
  <c r="AD104" i="14"/>
  <c r="AD105" i="14"/>
  <c r="AD106" i="14"/>
  <c r="AD107" i="14"/>
  <c r="AD108" i="14"/>
  <c r="AD109" i="14"/>
  <c r="AD110" i="14"/>
  <c r="AD111" i="14"/>
  <c r="AD3" i="14"/>
  <c r="AC104" i="14"/>
  <c r="AC105" i="14"/>
  <c r="AC106" i="14"/>
  <c r="AC107" i="14"/>
  <c r="AC108" i="14"/>
  <c r="AC109" i="14"/>
  <c r="AC110" i="14"/>
  <c r="AC111" i="14"/>
  <c r="AC74" i="14"/>
  <c r="AC75" i="14"/>
  <c r="AC76" i="14"/>
  <c r="AC77" i="14"/>
  <c r="AC78" i="14"/>
  <c r="AC79" i="14"/>
  <c r="AC80" i="14"/>
  <c r="AC81" i="14"/>
  <c r="AC82" i="14"/>
  <c r="AC83" i="14"/>
  <c r="AC84" i="14"/>
  <c r="AC85" i="14"/>
  <c r="AC86" i="14"/>
  <c r="AC87" i="14"/>
  <c r="AC88" i="14"/>
  <c r="AC89" i="14"/>
  <c r="AC90" i="14"/>
  <c r="AC91" i="14"/>
  <c r="AC92" i="14"/>
  <c r="AC93" i="14"/>
  <c r="AC94" i="14"/>
  <c r="AC95" i="14"/>
  <c r="AC96" i="14"/>
  <c r="AC97" i="14"/>
  <c r="AC98" i="14"/>
  <c r="AC99" i="14"/>
  <c r="AC100" i="14"/>
  <c r="AC51" i="14"/>
  <c r="AC52" i="14"/>
  <c r="AC53" i="14"/>
  <c r="AC54" i="14"/>
  <c r="AC55" i="14"/>
  <c r="AC56" i="14"/>
  <c r="AC57" i="14"/>
  <c r="AC58" i="14"/>
  <c r="AC59" i="14"/>
  <c r="AC60" i="14"/>
  <c r="AC61" i="14"/>
  <c r="AC62" i="14"/>
  <c r="AC63" i="14"/>
  <c r="AC64" i="14"/>
  <c r="AC65" i="14"/>
  <c r="AC66" i="14"/>
  <c r="AC67" i="14"/>
  <c r="AC68" i="14"/>
  <c r="AC69" i="14"/>
  <c r="AC70" i="14"/>
  <c r="AC4" i="14"/>
  <c r="AC5" i="14"/>
  <c r="AC6" i="14"/>
  <c r="AC7" i="14"/>
  <c r="AC8" i="14"/>
  <c r="AC9" i="14"/>
  <c r="AC10" i="14"/>
  <c r="AC11" i="14"/>
  <c r="AC12" i="14"/>
  <c r="AC13" i="14"/>
  <c r="AC14" i="14"/>
  <c r="AC15" i="14"/>
  <c r="AC16" i="14"/>
  <c r="AC17" i="14"/>
  <c r="AC18" i="14"/>
  <c r="AC19" i="14"/>
  <c r="AC20" i="14"/>
  <c r="AC21" i="14"/>
  <c r="AC22" i="14"/>
  <c r="AC23" i="14"/>
  <c r="AC24" i="14"/>
  <c r="AC25" i="14"/>
  <c r="AC26" i="14"/>
  <c r="AC27" i="14"/>
  <c r="AC28" i="14"/>
  <c r="AC29" i="14"/>
  <c r="AC30" i="14"/>
  <c r="AC31" i="14"/>
  <c r="AC32" i="14"/>
  <c r="AC33" i="14"/>
  <c r="AC34" i="14"/>
  <c r="AC35" i="14"/>
  <c r="AC36" i="14"/>
  <c r="AC37" i="14"/>
  <c r="AC38" i="14"/>
  <c r="AC39" i="14"/>
  <c r="AC40" i="14"/>
  <c r="AC41" i="14"/>
  <c r="AC42" i="14"/>
  <c r="AC43" i="14"/>
  <c r="AC44" i="14"/>
  <c r="AC3"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7" i="14"/>
  <c r="AB48" i="14"/>
  <c r="AB49" i="14"/>
  <c r="AB50" i="14"/>
  <c r="AB51" i="14"/>
  <c r="AB52" i="14"/>
  <c r="AB53" i="14"/>
  <c r="AB54" i="14"/>
  <c r="AB55" i="14"/>
  <c r="AB56" i="14"/>
  <c r="AB57" i="14"/>
  <c r="AB58" i="14"/>
  <c r="AB59" i="14"/>
  <c r="AB60" i="14"/>
  <c r="AB61" i="14"/>
  <c r="AB62" i="14"/>
  <c r="AB63" i="14"/>
  <c r="AB64" i="14"/>
  <c r="AB65" i="14"/>
  <c r="AB66" i="14"/>
  <c r="AB67" i="14"/>
  <c r="AB68" i="14"/>
  <c r="AB69" i="14"/>
  <c r="AB70"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3" i="14"/>
  <c r="AB104" i="14"/>
  <c r="AB105" i="14"/>
  <c r="AB106" i="14"/>
  <c r="AB107" i="14"/>
  <c r="AB108" i="14"/>
  <c r="AB109" i="14"/>
  <c r="AB110" i="14"/>
  <c r="AB111" i="14"/>
  <c r="AB3" i="14"/>
  <c r="H3" i="4"/>
  <c r="H4" i="4"/>
  <c r="H5" i="4"/>
  <c r="H6" i="4"/>
  <c r="H7" i="4"/>
  <c r="H8" i="4"/>
  <c r="H9" i="4"/>
  <c r="H2" i="4"/>
  <c r="H3" i="3"/>
  <c r="H4" i="3"/>
  <c r="H5" i="3"/>
  <c r="H6" i="3"/>
  <c r="H7" i="3"/>
  <c r="H8" i="3"/>
  <c r="H9" i="3"/>
  <c r="H10" i="3"/>
  <c r="H11" i="3"/>
  <c r="H12" i="3"/>
  <c r="H13" i="3"/>
  <c r="H14" i="3"/>
  <c r="H15" i="3"/>
  <c r="H16" i="3"/>
  <c r="H17" i="3"/>
  <c r="H18" i="3"/>
  <c r="H19" i="3"/>
  <c r="H20" i="3"/>
  <c r="H21" i="3"/>
  <c r="H22" i="3"/>
  <c r="H23" i="3"/>
  <c r="H24" i="3"/>
  <c r="H25" i="3"/>
  <c r="H26" i="3"/>
  <c r="H27" i="3"/>
  <c r="H28" i="3"/>
  <c r="H29" i="3"/>
  <c r="H2" i="3"/>
  <c r="H3" i="2"/>
  <c r="H4" i="2"/>
  <c r="H5" i="2"/>
  <c r="H6" i="2"/>
  <c r="H7" i="2"/>
  <c r="H8" i="2"/>
  <c r="H9" i="2"/>
  <c r="H10" i="2"/>
  <c r="H11" i="2"/>
  <c r="H12" i="2"/>
  <c r="H13" i="2"/>
  <c r="H14" i="2"/>
  <c r="H15" i="2"/>
  <c r="H16" i="2"/>
  <c r="H17" i="2"/>
  <c r="H18" i="2"/>
  <c r="H19" i="2"/>
  <c r="H20" i="2"/>
  <c r="H21" i="2"/>
  <c r="H2" i="2"/>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2" i="1"/>
  <c r="W25" i="11"/>
  <c r="V25" i="11"/>
  <c r="U25" i="11"/>
  <c r="T25" i="11"/>
  <c r="S25" i="11"/>
  <c r="R25" i="11"/>
  <c r="Q25" i="11"/>
  <c r="P25" i="11"/>
  <c r="O25" i="11"/>
  <c r="N25" i="11"/>
  <c r="M25" i="11"/>
  <c r="L27" i="11"/>
  <c r="K27" i="11"/>
  <c r="J27" i="11"/>
  <c r="I27" i="11"/>
  <c r="H27" i="11"/>
  <c r="G27" i="11"/>
  <c r="F27" i="11"/>
  <c r="E27" i="11"/>
  <c r="D27" i="11"/>
  <c r="C27" i="11"/>
  <c r="B27" i="11"/>
  <c r="L25" i="11"/>
  <c r="K25" i="11"/>
  <c r="J25" i="11"/>
  <c r="I25" i="11"/>
  <c r="H25" i="11"/>
  <c r="G25" i="11"/>
  <c r="F25" i="11"/>
  <c r="E25" i="11"/>
  <c r="D25" i="11"/>
  <c r="C25" i="11"/>
  <c r="B25" i="11"/>
  <c r="D7" i="11"/>
  <c r="B7" i="11"/>
  <c r="H107" i="12"/>
  <c r="G99" i="12"/>
  <c r="G100" i="12"/>
  <c r="G101" i="12"/>
  <c r="G102" i="12"/>
  <c r="G103" i="12"/>
  <c r="G104" i="12"/>
  <c r="G105" i="12"/>
  <c r="G106" i="12"/>
  <c r="G107" i="12"/>
  <c r="E99" i="12"/>
  <c r="E100" i="12"/>
  <c r="E101" i="12"/>
  <c r="E102" i="12"/>
  <c r="E103" i="12"/>
  <c r="E104" i="12"/>
  <c r="E105" i="12"/>
  <c r="E106" i="12"/>
  <c r="E107" i="12"/>
  <c r="H98"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H70"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3" i="12"/>
  <c r="G3" i="12" s="1"/>
  <c r="E4" i="12"/>
  <c r="G4" i="12" s="1"/>
  <c r="E5" i="12"/>
  <c r="G5" i="12"/>
  <c r="E6" i="12"/>
  <c r="G6" i="12"/>
  <c r="E7" i="12"/>
  <c r="G7" i="12"/>
  <c r="E8" i="12"/>
  <c r="G8" i="12"/>
  <c r="E9" i="12"/>
  <c r="G9" i="12"/>
  <c r="E10" i="12"/>
  <c r="G10" i="12"/>
  <c r="E11" i="12"/>
  <c r="G11" i="12" s="1"/>
  <c r="E12" i="12"/>
  <c r="G12" i="12" s="1"/>
  <c r="E13" i="12"/>
  <c r="G13" i="12" s="1"/>
  <c r="E14" i="12"/>
  <c r="G14" i="12"/>
  <c r="E15" i="12"/>
  <c r="G15" i="12"/>
  <c r="E16" i="12"/>
  <c r="G16" i="12"/>
  <c r="E17" i="12"/>
  <c r="G17" i="12"/>
  <c r="E18" i="12"/>
  <c r="G18" i="12"/>
  <c r="E19" i="12"/>
  <c r="G19" i="12" s="1"/>
  <c r="E20" i="12"/>
  <c r="G20" i="12" s="1"/>
  <c r="E21" i="12"/>
  <c r="G21" i="12"/>
  <c r="E22" i="12"/>
  <c r="G22" i="12" s="1"/>
  <c r="E23" i="12"/>
  <c r="G23" i="12"/>
  <c r="E24" i="12"/>
  <c r="G24" i="12"/>
  <c r="E25" i="12"/>
  <c r="G25" i="12"/>
  <c r="E26" i="12"/>
  <c r="G26" i="12"/>
  <c r="E27" i="12"/>
  <c r="G27" i="12" s="1"/>
  <c r="E28" i="12"/>
  <c r="G28" i="12" s="1"/>
  <c r="E29" i="12"/>
  <c r="G29" i="12"/>
  <c r="E30" i="12"/>
  <c r="G30" i="12"/>
  <c r="E31" i="12"/>
  <c r="G31" i="12" s="1"/>
  <c r="E32" i="12"/>
  <c r="G32" i="12"/>
  <c r="E33" i="12"/>
  <c r="G33" i="12"/>
  <c r="E34" i="12"/>
  <c r="G34" i="12"/>
  <c r="E35" i="12"/>
  <c r="G35" i="12" s="1"/>
  <c r="E36" i="12"/>
  <c r="G36" i="12" s="1"/>
  <c r="E37" i="12"/>
  <c r="G37" i="12"/>
  <c r="E38" i="12"/>
  <c r="G38" i="12"/>
  <c r="E39" i="12"/>
  <c r="G39" i="12"/>
  <c r="E40" i="12"/>
  <c r="G40" i="12" s="1"/>
  <c r="E41" i="12"/>
  <c r="G41" i="12"/>
  <c r="E42" i="12"/>
  <c r="G42" i="12"/>
  <c r="E43" i="12"/>
  <c r="G43" i="12" s="1"/>
  <c r="E44" i="12"/>
  <c r="G44" i="12" s="1"/>
  <c r="E2" i="12"/>
  <c r="G2" i="12" s="1"/>
  <c r="E2" i="11"/>
  <c r="D8" i="11" s="1"/>
  <c r="C8" i="11" l="1"/>
  <c r="F15" i="11"/>
  <c r="G15" i="11"/>
  <c r="I15" i="11"/>
  <c r="H15" i="11"/>
</calcChain>
</file>

<file path=xl/sharedStrings.xml><?xml version="1.0" encoding="utf-8"?>
<sst xmlns="http://schemas.openxmlformats.org/spreadsheetml/2006/main" count="7172" uniqueCount="248">
  <si>
    <t>반</t>
  </si>
  <si>
    <t>이름</t>
  </si>
  <si>
    <t>1FO</t>
  </si>
  <si>
    <t>조하린9866</t>
  </si>
  <si>
    <t>조이플4632</t>
  </si>
  <si>
    <t>한가인6162</t>
  </si>
  <si>
    <t>정준우7962</t>
  </si>
  <si>
    <t>김주하2492</t>
  </si>
  <si>
    <t>김상우2835</t>
  </si>
  <si>
    <t>심효주0430</t>
  </si>
  <si>
    <t>김유민0779</t>
  </si>
  <si>
    <t>이우진8720</t>
  </si>
  <si>
    <t>정유빈9239</t>
  </si>
  <si>
    <t>최아정6445</t>
  </si>
  <si>
    <t>오수진5052</t>
  </si>
  <si>
    <t>이시우1234</t>
  </si>
  <si>
    <t>김은성1571</t>
  </si>
  <si>
    <t>이다은3164</t>
  </si>
  <si>
    <t>이새롬1234</t>
  </si>
  <si>
    <t>황지민2281</t>
  </si>
  <si>
    <t>양준효5025</t>
  </si>
  <si>
    <t>송지유3134</t>
  </si>
  <si>
    <t>김예진0532</t>
  </si>
  <si>
    <t>송윤서1907</t>
  </si>
  <si>
    <t>박현선8090</t>
  </si>
  <si>
    <t>남주원7734</t>
  </si>
  <si>
    <t>최건우1307</t>
  </si>
  <si>
    <t>최홍윤6495</t>
  </si>
  <si>
    <t>손유건0877</t>
  </si>
  <si>
    <t>임승준7363</t>
  </si>
  <si>
    <t>조원서1079</t>
  </si>
  <si>
    <t>이석빈6231</t>
  </si>
  <si>
    <t>최은성6803</t>
  </si>
  <si>
    <t>김지혁1126</t>
  </si>
  <si>
    <t>최이삭8860</t>
  </si>
  <si>
    <t>이민율5492</t>
  </si>
  <si>
    <t>김민겸5784</t>
  </si>
  <si>
    <t>김수현3124</t>
  </si>
  <si>
    <t>김윤우4570</t>
  </si>
  <si>
    <t>김지훈5106</t>
  </si>
  <si>
    <t>이예나4862</t>
  </si>
  <si>
    <t>하이준1299</t>
  </si>
  <si>
    <t>최황지7291</t>
  </si>
  <si>
    <t>1INT</t>
  </si>
  <si>
    <t>이준희2280</t>
  </si>
  <si>
    <t>유주원4257</t>
  </si>
  <si>
    <t>신준우9838</t>
  </si>
  <si>
    <t>유태형0555</t>
  </si>
  <si>
    <t>오수빈0779</t>
  </si>
  <si>
    <t>권시윤4513</t>
  </si>
  <si>
    <t>추연우2028</t>
  </si>
  <si>
    <t>오준서1498</t>
  </si>
  <si>
    <t>손채은1360</t>
  </si>
  <si>
    <t>박하루1937</t>
  </si>
  <si>
    <t>정시안4023</t>
  </si>
  <si>
    <t>조성하2402</t>
  </si>
  <si>
    <t>최이안3386</t>
  </si>
  <si>
    <t>이주신6465</t>
  </si>
  <si>
    <t>김도연2474</t>
  </si>
  <si>
    <t>이서하1775</t>
  </si>
  <si>
    <t>조재인8304</t>
  </si>
  <si>
    <t>박하율2672</t>
  </si>
  <si>
    <t>이선엽3390</t>
  </si>
  <si>
    <t>고은기8177</t>
  </si>
  <si>
    <t>IVY</t>
  </si>
  <si>
    <t>이수민4482</t>
  </si>
  <si>
    <t>구교석9155</t>
  </si>
  <si>
    <t>이재인6956</t>
  </si>
  <si>
    <t>김승연5446</t>
  </si>
  <si>
    <t>오연서8335</t>
  </si>
  <si>
    <t>이승현1373</t>
  </si>
  <si>
    <t>이연서1743</t>
  </si>
  <si>
    <t>장주원4149</t>
  </si>
  <si>
    <t>한준우9175</t>
  </si>
  <si>
    <t>장호진5446</t>
  </si>
  <si>
    <t>김서현1738</t>
  </si>
  <si>
    <t>김서연3408</t>
  </si>
  <si>
    <t>이채아0388</t>
  </si>
  <si>
    <t>김지우7486</t>
  </si>
  <si>
    <t>안채린0674</t>
  </si>
  <si>
    <t>남윤성2870</t>
  </si>
  <si>
    <t>박서현6242</t>
  </si>
  <si>
    <t>정유준0820</t>
  </si>
  <si>
    <t>김한서1381</t>
  </si>
  <si>
    <t>강지호1802</t>
  </si>
  <si>
    <t>김현민1263</t>
  </si>
  <si>
    <t>이현율7913</t>
  </si>
  <si>
    <t>강한별4082</t>
  </si>
  <si>
    <t>주민혁8678</t>
  </si>
  <si>
    <t>김현성2425</t>
  </si>
  <si>
    <t>천성재8653</t>
  </si>
  <si>
    <t>김시우3538</t>
  </si>
  <si>
    <t>서윤솔8352</t>
  </si>
  <si>
    <t>성하은4160</t>
  </si>
  <si>
    <t>한해민1043</t>
  </si>
  <si>
    <t>이지안3502</t>
  </si>
  <si>
    <t>김혜원3364</t>
  </si>
  <si>
    <t>노은채5368</t>
  </si>
  <si>
    <t>김지환4419</t>
  </si>
  <si>
    <t>황기민8407</t>
  </si>
  <si>
    <t>각 4점 만점에 부분점수 입력</t>
    <phoneticPr fontId="1" type="noConversion"/>
  </si>
  <si>
    <t>최정우5267</t>
    <phoneticPr fontId="1" type="noConversion"/>
  </si>
  <si>
    <t>객관식</t>
    <phoneticPr fontId="1" type="noConversion"/>
  </si>
  <si>
    <t>주관식</t>
    <phoneticPr fontId="1" type="noConversion"/>
  </si>
  <si>
    <t>FO</t>
    <phoneticPr fontId="1" type="noConversion"/>
  </si>
  <si>
    <t>반</t>
    <phoneticPr fontId="1" type="noConversion"/>
  </si>
  <si>
    <t>조동사</t>
    <phoneticPr fontId="1" type="noConversion"/>
  </si>
  <si>
    <t>Be동사</t>
    <phoneticPr fontId="1" type="noConversion"/>
  </si>
  <si>
    <t>일반동사</t>
    <phoneticPr fontId="1" type="noConversion"/>
  </si>
  <si>
    <t>부정사</t>
    <phoneticPr fontId="1" type="noConversion"/>
  </si>
  <si>
    <t>시제</t>
    <phoneticPr fontId="1" type="noConversion"/>
  </si>
  <si>
    <t>동명사</t>
    <phoneticPr fontId="1" type="noConversion"/>
  </si>
  <si>
    <t>Inter, AD</t>
    <phoneticPr fontId="1" type="noConversion"/>
  </si>
  <si>
    <t>IVY</t>
    <phoneticPr fontId="1" type="noConversion"/>
  </si>
  <si>
    <t>비교</t>
    <phoneticPr fontId="1" type="noConversion"/>
  </si>
  <si>
    <t>수동태</t>
    <phoneticPr fontId="1" type="noConversion"/>
  </si>
  <si>
    <t>접속사</t>
    <phoneticPr fontId="1" type="noConversion"/>
  </si>
  <si>
    <t>완료시제</t>
    <phoneticPr fontId="1" type="noConversion"/>
  </si>
  <si>
    <t>허은재1450</t>
    <phoneticPr fontId="1" type="noConversion"/>
  </si>
  <si>
    <t>최정우5267</t>
  </si>
  <si>
    <t>정다율4243</t>
  </si>
  <si>
    <t>정다율4243</t>
    <phoneticPr fontId="1" type="noConversion"/>
  </si>
  <si>
    <t>1FO</t>
    <phoneticPr fontId="3" type="noConversion"/>
  </si>
  <si>
    <t>결석</t>
  </si>
  <si>
    <t>-</t>
  </si>
  <si>
    <t>남주원7734</t>
    <phoneticPr fontId="3" type="noConversion"/>
  </si>
  <si>
    <t>박현선8090</t>
    <phoneticPr fontId="3" type="noConversion"/>
  </si>
  <si>
    <t>송윤서1907</t>
    <phoneticPr fontId="3" type="noConversion"/>
  </si>
  <si>
    <t>송지유3134</t>
    <phoneticPr fontId="3" type="noConversion"/>
  </si>
  <si>
    <t>양준효5025</t>
    <phoneticPr fontId="3" type="noConversion"/>
  </si>
  <si>
    <t>결석</t>
    <phoneticPr fontId="3" type="noConversion"/>
  </si>
  <si>
    <t>조이플4632</t>
    <phoneticPr fontId="3" type="noConversion"/>
  </si>
  <si>
    <t>한가인6162</t>
    <phoneticPr fontId="3" type="noConversion"/>
  </si>
  <si>
    <t>정준우7962</t>
    <phoneticPr fontId="3" type="noConversion"/>
  </si>
  <si>
    <t>김예진0532</t>
    <phoneticPr fontId="3" type="noConversion"/>
  </si>
  <si>
    <t>황지민2281</t>
    <phoneticPr fontId="3" type="noConversion"/>
  </si>
  <si>
    <t>김주하2492</t>
    <phoneticPr fontId="3" type="noConversion"/>
  </si>
  <si>
    <t>조하린9866</t>
    <phoneticPr fontId="3" type="noConversion"/>
  </si>
  <si>
    <t>최황지7291</t>
    <phoneticPr fontId="3" type="noConversion"/>
  </si>
  <si>
    <t>하이준 1299</t>
    <phoneticPr fontId="3" type="noConversion"/>
  </si>
  <si>
    <t>최홍윤6495</t>
    <phoneticPr fontId="3" type="noConversion"/>
  </si>
  <si>
    <t>1IN</t>
    <phoneticPr fontId="3" type="noConversion"/>
  </si>
  <si>
    <t>김도연2474</t>
    <phoneticPr fontId="3" type="noConversion"/>
  </si>
  <si>
    <t>지각</t>
  </si>
  <si>
    <t>이주신6465</t>
    <phoneticPr fontId="3" type="noConversion"/>
  </si>
  <si>
    <t>정시안4023</t>
    <phoneticPr fontId="3" type="noConversion"/>
  </si>
  <si>
    <t>추연우2028</t>
    <phoneticPr fontId="3" type="noConversion"/>
  </si>
  <si>
    <t>최이안3386</t>
    <phoneticPr fontId="3" type="noConversion"/>
  </si>
  <si>
    <t>조성하0222</t>
    <phoneticPr fontId="3" type="noConversion"/>
  </si>
  <si>
    <t>손채은1360</t>
    <phoneticPr fontId="3" type="noConversion"/>
  </si>
  <si>
    <t>1AD</t>
    <phoneticPr fontId="3" type="noConversion"/>
  </si>
  <si>
    <t>김서연3408</t>
    <phoneticPr fontId="3" type="noConversion"/>
  </si>
  <si>
    <t>김서현1738</t>
    <phoneticPr fontId="3" type="noConversion"/>
  </si>
  <si>
    <t>이채아0388</t>
    <phoneticPr fontId="3" type="noConversion"/>
  </si>
  <si>
    <t>한준우9175</t>
    <phoneticPr fontId="3" type="noConversion"/>
  </si>
  <si>
    <t>안채린0674</t>
    <phoneticPr fontId="3" type="noConversion"/>
  </si>
  <si>
    <t>장호진5446</t>
    <phoneticPr fontId="3" type="noConversion"/>
  </si>
  <si>
    <t>김지우7486</t>
    <phoneticPr fontId="3" type="noConversion"/>
  </si>
  <si>
    <t>허은재1450</t>
  </si>
  <si>
    <t>중1IVY</t>
    <phoneticPr fontId="3" type="noConversion"/>
  </si>
  <si>
    <t>이윤찬</t>
  </si>
  <si>
    <t>이예나3219</t>
    <phoneticPr fontId="1" type="noConversion"/>
  </si>
  <si>
    <t>김태린0735</t>
    <phoneticPr fontId="1" type="noConversion"/>
  </si>
  <si>
    <t>김정윤6658</t>
    <phoneticPr fontId="1" type="noConversion"/>
  </si>
  <si>
    <t>1AD</t>
  </si>
  <si>
    <t>1AD</t>
    <phoneticPr fontId="1" type="noConversion"/>
  </si>
  <si>
    <t>이름</t>
    <phoneticPr fontId="1" type="noConversion"/>
  </si>
  <si>
    <t>문법</t>
    <phoneticPr fontId="1" type="noConversion"/>
  </si>
  <si>
    <t>독해</t>
    <phoneticPr fontId="1" type="noConversion"/>
  </si>
  <si>
    <t>조하린5866</t>
  </si>
  <si>
    <t>원점수</t>
    <phoneticPr fontId="1" type="noConversion"/>
  </si>
  <si>
    <t>맞은갯수</t>
    <phoneticPr fontId="1" type="noConversion"/>
  </si>
  <si>
    <t>기본점수</t>
    <phoneticPr fontId="1" type="noConversion"/>
  </si>
  <si>
    <t>최종성적</t>
    <phoneticPr fontId="1" type="noConversion"/>
  </si>
  <si>
    <t>손현겸3726</t>
  </si>
  <si>
    <t>손지원1266</t>
  </si>
  <si>
    <t>이윤오2947</t>
  </si>
  <si>
    <t>이소영6515</t>
  </si>
  <si>
    <t>김도연4292</t>
  </si>
  <si>
    <t>평균</t>
    <phoneticPr fontId="1" type="noConversion"/>
  </si>
  <si>
    <t>허은재9450</t>
  </si>
  <si>
    <t>이예나3219</t>
  </si>
  <si>
    <t>반별평균</t>
    <phoneticPr fontId="1" type="noConversion"/>
  </si>
  <si>
    <t xml:space="preserve">진단평가 안내 </t>
    <phoneticPr fontId="1" type="noConversion"/>
  </si>
  <si>
    <t>1과</t>
    <phoneticPr fontId="1" type="noConversion"/>
  </si>
  <si>
    <t>2과</t>
  </si>
  <si>
    <t>3과</t>
  </si>
  <si>
    <t>4과</t>
  </si>
  <si>
    <t>5과</t>
  </si>
  <si>
    <t>6과</t>
  </si>
  <si>
    <t>7과</t>
  </si>
  <si>
    <t>8과</t>
  </si>
  <si>
    <t>9과</t>
  </si>
  <si>
    <t>10과</t>
  </si>
  <si>
    <t>11과</t>
  </si>
  <si>
    <t>12과</t>
  </si>
  <si>
    <t>13과</t>
  </si>
  <si>
    <t>14과</t>
  </si>
  <si>
    <t>15과</t>
  </si>
  <si>
    <t>16과</t>
  </si>
  <si>
    <t>17과</t>
  </si>
  <si>
    <t>18과</t>
  </si>
  <si>
    <t>19과</t>
  </si>
  <si>
    <t>20과</t>
  </si>
  <si>
    <t>21과</t>
  </si>
  <si>
    <t>22과</t>
  </si>
  <si>
    <t xml:space="preserve">단어 누적 결과 </t>
    <phoneticPr fontId="1" type="noConversion"/>
  </si>
  <si>
    <t xml:space="preserve">이번시험은 3월과 4월에 공부했던 내용을 기반으로 출제했습니다. 문법의 경우 각 레벨에서 소화 해야 할 난이도의 문법을 출제했습니다. 영역별 성취도를 통해 추후 보강이 필요한 부분은 개별보강 할 예정입니다. 독해의 경우 그동안 공부한 지문이지만, 내신과 수능에서 만날수 있는 문제유형(주제, 제목, 내용일치, 추론)을 출제함으로, 글의 이해와 유형에 대한 연습을 목적으로 출제 하였습니다. 단어 결과는 정규 과정에서 공부한 단어의 누적 결과로 정규 단어 결과 + 주말 진행한 누적테스트의 결과 입니다. </t>
    <phoneticPr fontId="1" type="noConversion"/>
  </si>
  <si>
    <t>남주원7734</t>
    <phoneticPr fontId="1" type="noConversion"/>
  </si>
  <si>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</si>
  <si>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</si>
  <si>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</si>
  <si>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</si>
  <si>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</si>
  <si>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</si>
  <si>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</si>
  <si>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</si>
  <si>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</si>
  <si>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</si>
  <si>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</si>
  <si>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</si>
  <si>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</si>
  <si>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</si>
  <si>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</si>
  <si>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</si>
  <si>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</si>
  <si>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</si>
  <si>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</si>
  <si>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</si>
  <si>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</si>
  <si>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</si>
  <si>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</si>
  <si>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</si>
  <si>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</si>
  <si>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X</t>
  </si>
  <si>
    <t>O</t>
  </si>
  <si>
    <t>문법점수(객관식)</t>
    <phoneticPr fontId="1" type="noConversion"/>
  </si>
  <si>
    <t>문법점수(주관식)</t>
    <phoneticPr fontId="1" type="noConversion"/>
  </si>
  <si>
    <t>내일 점수 확인해야 함</t>
    <phoneticPr fontId="1" type="noConversion"/>
  </si>
  <si>
    <t>문법  객관식 성취도</t>
    <phoneticPr fontId="1" type="noConversion"/>
  </si>
  <si>
    <t>문법 주관식 성취도</t>
    <phoneticPr fontId="1" type="noConversion"/>
  </si>
  <si>
    <t>문법 유형별 성취도</t>
    <phoneticPr fontId="1" type="noConversion"/>
  </si>
  <si>
    <t>문법 영역별 성취도</t>
    <phoneticPr fontId="1" type="noConversion"/>
  </si>
  <si>
    <t>.</t>
    <phoneticPr fontId="1" type="noConversion"/>
  </si>
  <si>
    <t>획득점수</t>
    <phoneticPr fontId="1" type="noConversion"/>
  </si>
  <si>
    <t>반평균</t>
    <phoneticPr fontId="1" type="noConversion"/>
  </si>
  <si>
    <t>점수</t>
    <phoneticPr fontId="1" type="noConversion"/>
  </si>
  <si>
    <t xml:space="preserve">1. 독해 점수 = (20문제를 70점 만점으로) + 30(기본점수) 
2. 문법 점수 = 객관식(25문제, 각 2점) / 주관식(5문제 각 4점)  + 30(기본점수) 
3. 문법 유형성취도 (객관식 백분율 / 주관식 백분율) 
4. 문법 영역성취도(객관식만 가지고 유형별로 백분율)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</si>
</sst>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x14ac:knownFonts="1">
    <font>
      <sz val="12"/>
      <color theme="1"/>
      <name val="맑은 고딕"/>
      <family val="2"/>
      <scheme val="minor"/>
    </font>
    <font>
      <sz val="8"/>
      <name val="맑은 고딕"/>
      <family val="3"/>
      <charset val="129"/>
      <scheme val="minor"/>
    </font>
    <font>
      <sz val="11"/>
      <color theme="1"/>
      <name val="맑은 고딕"/>
      <family val="3"/>
      <charset val="129"/>
      <scheme val="minor"/>
    </font>
    <font>
      <sz val="8"/>
      <name val="맑은 고딕"/>
      <family val="2"/>
      <charset val="129"/>
      <scheme val="minor"/>
    </font>
    <font>
      <sz val="11"/>
      <color theme="1"/>
      <name val="맑은 고딕"/>
      <family val="3"/>
      <charset val="129"/>
    </font>
    <font>
      <sz val="11"/>
      <color theme="1"/>
      <name val="맑은 고딕"/>
      <family val="3"/>
      <charset val="129"/>
      <scheme val="major"/>
    </font>
    <font>
      <sz val="11"/>
      <color rgb="FFFFCFC9"/>
      <name val="맑은 고딕"/>
      <family val="3"/>
      <charset val="129"/>
      <scheme val="major"/>
    </font>
    <font>
      <sz val="11"/>
      <color rgb="FFFFCFC9"/>
      <name val="맑은 고딕"/>
      <family val="3"/>
      <charset val="129"/>
      <scheme val="minor"/>
    </font>
    <font>
      <sz val="20"/>
      <color theme="1"/>
      <name val="맑은 고딕"/>
      <family val="2"/>
      <scheme val="minor"/>
    </font>
    <font>
      <sz val="10"/>
      <color theme="1"/>
      <name val="맑은 고딕"/>
      <family val="2"/>
      <scheme val="minor"/>
    </font>
    <font>
      <sz val="12"/>
      <color theme="0"/>
      <name val="맑은 고딕"/>
      <family val="2"/>
      <scheme val="minor"/>
    </font>
    <font>
      <sz val="12"/>
      <color theme="1"/>
      <name val="맑은 고딕"/>
      <family val="2"/>
      <scheme val="minor"/>
    </font>
    <font>
      <sz val="12"/>
      <color rgb="FFFF0000"/>
      <name val="맑은 고딕"/>
      <family val="2"/>
      <scheme val="minor"/>
    </font>
  </fonts>
  <fills count="6">
    <fill>
      <patternFill patternType="none"/>
    </fill>
    <fill>
      <patternFill patternType="gray125"/>
    </fill>
    <fill>
      <patternFill patternType="solid">
        <fgColor theme="0"/>
        <bgColor indexed="64"/>
      </patternFill>
    </fill>
    <fill>
      <patternFill patternType="solid">
        <fgColor theme="0"/>
        <bgColor theme="0" tint="-0.14999847407452621"/>
      </patternFill>
    </fill>
    <fill>
      <patternFill patternType="solid">
        <fgColor theme="0"/>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1" fillId="0" borderId="0" applyFont="0" applyFill="0" applyBorder="0" applyAlignment="0" applyProtection="0">
      <alignment vertical="center"/>
    </xf>
  </cellStyleXfs>
  <cellXfs count="45">
    <xf numFmtId="0" fontId="0" fillId="0" borderId="0" xfId="0"/>
    <xf numFmtId="0" fontId="0" fillId="0" borderId="0" xfId="0" applyAlignment="1">
      <alignment horizont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0" fillId="0" borderId="1" xfId="0" applyBorder="1"/>
    <xf numFmtId="0" fontId="0" fillId="0" borderId="1" xfId="0"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xf>
    <xf numFmtId="0" fontId="7" fillId="0" borderId="4" xfId="0" applyFont="1" applyBorder="1" applyAlignment="1">
      <alignment horizontal="center" vertical="center" wrapText="1"/>
    </xf>
    <xf numFmtId="0" fontId="2" fillId="0" borderId="0" xfId="0" applyFont="1" applyAlignment="1">
      <alignment horizontal="center"/>
    </xf>
    <xf numFmtId="0" fontId="0" fillId="0" borderId="0" xfId="0" applyAlignment="1">
      <alignment horizontal="center" vertical="center"/>
    </xf>
    <xf numFmtId="176" fontId="0" fillId="0" borderId="0" xfId="0" applyNumberFormat="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10" fillId="0" borderId="0" xfId="0" applyFont="1" applyAlignment="1">
      <alignment horizontal="center" vertical="center"/>
    </xf>
    <xf numFmtId="0" fontId="0" fillId="5" borderId="1" xfId="0" applyFill="1" applyBorder="1" applyAlignment="1">
      <alignment horizontal="center" vertical="center"/>
    </xf>
    <xf numFmtId="0" fontId="12" fillId="0" borderId="0" xfId="0" applyFont="1"/>
    <xf numFmtId="176" fontId="0" fillId="0" borderId="0" xfId="0" applyNumberFormat="1"/>
    <xf numFmtId="9" fontId="0" fillId="0" borderId="0" xfId="1" applyFont="1" applyAlignment="1"/>
    <xf numFmtId="9" fontId="0" fillId="0" borderId="0" xfId="1" applyFont="1" applyAlignment="1">
      <alignment horizontal="center" vertical="center"/>
    </xf>
    <xf numFmtId="9" fontId="0" fillId="0" borderId="1" xfId="1"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5" xfId="0" applyFont="1" applyBorder="1" applyAlignment="1">
      <alignment horizontal="center" vertical="center" wrapText="1"/>
    </xf>
    <xf numFmtId="0" fontId="0" fillId="0" borderId="0" xfId="0" applyAlignment="1">
      <alignment horizontal="center" wrapText="1"/>
    </xf>
  </cellXfs>
  <cellStyles count="2">
    <cellStyle name="백분율" xfId="1" builtinId="5"/>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844436442203819E-2"/>
          <c:y val="0.15740740740740741"/>
          <c:w val="0.96831112711559242"/>
          <c:h val="0.71401283172936714"/>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'성적표(상담용)'!$B$24:$W$24</c:f>
              <c:strCache>
                <c:ptCount val="22"/>
                <c:pt idx="0">
                  <c:v>1과</c:v>
                </c:pt>
                <c:pt idx="1">
                  <c:v>2과</c:v>
                </c:pt>
                <c:pt idx="2">
                  <c:v>3과</c:v>
                </c:pt>
                <c:pt idx="3">
                  <c:v>4과</c:v>
                </c:pt>
                <c:pt idx="4">
                  <c:v>5과</c:v>
                </c:pt>
                <c:pt idx="5">
                  <c:v>6과</c:v>
                </c:pt>
                <c:pt idx="6">
                  <c:v>7과</c:v>
                </c:pt>
                <c:pt idx="7">
                  <c:v>8과</c:v>
                </c:pt>
                <c:pt idx="8">
                  <c:v>9과</c:v>
                </c:pt>
                <c:pt idx="9">
                  <c:v>10과</c:v>
                </c:pt>
                <c:pt idx="10">
                  <c:v>11과</c:v>
                </c:pt>
                <c:pt idx="11">
                  <c:v>12과</c:v>
                </c:pt>
                <c:pt idx="12">
                  <c:v>13과</c:v>
                </c:pt>
                <c:pt idx="13">
                  <c:v>14과</c:v>
                </c:pt>
                <c:pt idx="14">
                  <c:v>15과</c:v>
                </c:pt>
                <c:pt idx="15">
                  <c:v>16과</c:v>
                </c:pt>
                <c:pt idx="16">
                  <c:v>17과</c:v>
                </c:pt>
                <c:pt idx="17">
                  <c:v>18과</c:v>
                </c:pt>
                <c:pt idx="18">
                  <c:v>19과</c:v>
                </c:pt>
                <c:pt idx="19">
                  <c:v>20과</c:v>
                </c:pt>
                <c:pt idx="20">
                  <c:v>21과</c:v>
                </c:pt>
                <c:pt idx="21">
                  <c:v>22과</c:v>
                </c:pt>
              </c:strCache>
            </c:strRef>
          </c:cat>
          <c:val>
            <c:numRef>
              <c:f>'성적표(상담용)'!$B$25:$W$25</c:f>
              <c:numCache>
                <c:formatCode>General</c:formatCode>
                <c:ptCount val="22"/>
                <c:pt idx="0">
                  <c:v>98.75</c:v>
                </c:pt>
                <c:pt idx="1">
                  <c:v>98.75</c:v>
                </c:pt>
                <c:pt idx="2">
                  <c:v>97</c:v>
                </c:pt>
                <c:pt idx="3">
                  <c:v>97</c:v>
                </c:pt>
                <c:pt idx="4">
                  <c:v>97</c:v>
                </c:pt>
                <c:pt idx="5">
                  <c:v>97</c:v>
                </c:pt>
                <c:pt idx="6">
                  <c:v>95</c:v>
                </c:pt>
                <c:pt idx="7">
                  <c:v>95</c:v>
                </c:pt>
                <c:pt idx="8">
                  <c:v>95</c:v>
                </c:pt>
                <c:pt idx="9">
                  <c:v>95</c:v>
                </c:pt>
                <c:pt idx="10">
                  <c:v>99</c:v>
                </c:pt>
                <c:pt idx="11">
                  <c:v>99</c:v>
                </c:pt>
                <c:pt idx="12">
                  <c:v>99</c:v>
                </c:pt>
                <c:pt idx="13">
                  <c:v>99</c:v>
                </c:pt>
                <c:pt idx="14">
                  <c:v>92</c:v>
                </c:pt>
                <c:pt idx="15">
                  <c:v>92</c:v>
                </c:pt>
                <c:pt idx="16">
                  <c:v>92</c:v>
                </c:pt>
                <c:pt idx="17">
                  <c:v>92</c:v>
                </c:pt>
                <c:pt idx="18">
                  <c:v>98</c:v>
                </c:pt>
                <c:pt idx="19">
                  <c:v>98</c:v>
                </c:pt>
                <c:pt idx="20">
                  <c:v>98</c:v>
                </c:pt>
                <c:pt idx="21">
                  <c:v>98</c:v>
                </c:pt>
              </c:numCache>
            </c:numRef>
          </c:val>
          <c:extLst>
            <c:ext xmlns:c16="http://schemas.microsoft.com/office/drawing/2014/chart" uri="{C3380CC4-5D6E-409C-BE32-E72D297353CC}">
              <c16:uniqueId val="{00000000-2334-4864-9B82-AED42A1860AC}"/>
            </c:ext>
          </c:extLst>
        </c:ser>
        <c:dLbls>
          <c:showLegendKey val="0"/>
          <c:showVal val="0"/>
          <c:showCatName val="0"/>
          <c:showSerName val="0"/>
          <c:showPercent val="0"/>
          <c:showBubbleSize val="0"/>
        </c:dLbls>
        <c:gapWidth val="219"/>
        <c:overlap val="-27"/>
        <c:axId val="750938720"/>
        <c:axId val="750947360"/>
      </c:barChart>
      <c:catAx>
        <c:axId val="7509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50947360"/>
        <c:crosses val="autoZero"/>
        <c:auto val="1"/>
        <c:lblAlgn val="ctr"/>
        <c:lblOffset val="100"/>
        <c:noMultiLvlLbl val="0"/>
      </c:catAx>
      <c:valAx>
        <c:axId val="750947360"/>
        <c:scaling>
          <c:orientation val="minMax"/>
          <c:max val="100"/>
        </c:scaling>
        <c:delete val="1"/>
        <c:axPos val="l"/>
        <c:numFmt formatCode="General" sourceLinked="1"/>
        <c:majorTickMark val="none"/>
        <c:minorTickMark val="none"/>
        <c:tickLblPos val="nextTo"/>
        <c:crossAx val="75093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766793409378963E-2"/>
          <c:y val="0.14102564102564102"/>
          <c:w val="0.88846641318124209"/>
          <c:h val="0.5157278417120936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'성적표(상담용)'!$C$15:$D$15</c:f>
              <c:strCache>
                <c:ptCount val="2"/>
                <c:pt idx="0">
                  <c:v>문법</c:v>
                </c:pt>
                <c:pt idx="1">
                  <c:v>독해</c:v>
                </c:pt>
              </c:strCache>
            </c:strRef>
          </c:cat>
          <c:val>
            <c:numRef>
              <c:f>'성적표(상담용)'!$C$16:$D$16</c:f>
              <c:numCache>
                <c:formatCode>0%</c:formatCode>
                <c:ptCount val="2"/>
                <c:pt idx="0">
                  <c:v>0.92</c:v>
                </c:pt>
                <c:pt idx="1">
                  <c:v>0.95</c:v>
                </c:pt>
              </c:numCache>
            </c:numRef>
          </c:val>
          <c:extLst>
            <c:ext xmlns:c16="http://schemas.microsoft.com/office/drawing/2014/chart" uri="{C3380CC4-5D6E-409C-BE32-E72D297353CC}">
              <c16:uniqueId val="{00000000-AADC-4661-AA3D-626A8C5CA46F}"/>
            </c:ext>
          </c:extLst>
        </c:ser>
        <c:dLbls>
          <c:showLegendKey val="0"/>
          <c:showVal val="0"/>
          <c:showCatName val="0"/>
          <c:showSerName val="0"/>
          <c:showPercent val="0"/>
          <c:showBubbleSize val="0"/>
        </c:dLbls>
        <c:gapWidth val="219"/>
        <c:overlap val="-27"/>
        <c:axId val="1521442623"/>
        <c:axId val="1521444543"/>
      </c:barChart>
      <c:catAx>
        <c:axId val="15214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21444543"/>
        <c:crosses val="autoZero"/>
        <c:auto val="1"/>
        <c:lblAlgn val="ctr"/>
        <c:lblOffset val="100"/>
        <c:noMultiLvlLbl val="0"/>
      </c:catAx>
      <c:valAx>
        <c:axId val="1521444543"/>
        <c:scaling>
          <c:orientation val="minMax"/>
          <c:max val="1"/>
        </c:scaling>
        <c:delete val="1"/>
        <c:axPos val="l"/>
        <c:numFmt formatCode="0%" sourceLinked="1"/>
        <c:majorTickMark val="none"/>
        <c:minorTickMark val="none"/>
        <c:tickLblPos val="nextTo"/>
        <c:crossAx val="152144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'성적표(상담용)'!$F$15:$I$15</c:f>
              <c:strCache>
                <c:ptCount val="4"/>
                <c:pt idx="0">
                  <c:v>완료시제</c:v>
                </c:pt>
                <c:pt idx="1">
                  <c:v>수동태</c:v>
                </c:pt>
                <c:pt idx="2">
                  <c:v>비교</c:v>
                </c:pt>
                <c:pt idx="3">
                  <c:v>접속사</c:v>
                </c:pt>
              </c:strCache>
            </c:strRef>
          </c:cat>
          <c:val>
            <c:numRef>
              <c:f>'성적표(상담용)'!$F$16:$I$16</c:f>
              <c:numCache>
                <c:formatCode>0%</c:formatCode>
                <c:ptCount val="4"/>
                <c:pt idx="0">
                  <c:v>0.66666666666666663</c:v>
                </c:pt>
                <c:pt idx="1">
                  <c:v>1</c:v>
                </c:pt>
                <c:pt idx="2">
                  <c:v>1</c:v>
                </c:pt>
                <c:pt idx="3">
                  <c:v>1</c:v>
                </c:pt>
              </c:numCache>
            </c:numRef>
          </c:val>
          <c:extLst>
            <c:ext xmlns:c16="http://schemas.microsoft.com/office/drawing/2014/chart" uri="{C3380CC4-5D6E-409C-BE32-E72D297353CC}">
              <c16:uniqueId val="{00000000-43E8-4DF4-8710-2170F0538104}"/>
            </c:ext>
          </c:extLst>
        </c:ser>
        <c:dLbls>
          <c:showLegendKey val="0"/>
          <c:showVal val="0"/>
          <c:showCatName val="0"/>
          <c:showSerName val="0"/>
          <c:showPercent val="0"/>
          <c:showBubbleSize val="0"/>
        </c:dLbls>
        <c:gapWidth val="219"/>
        <c:overlap val="-27"/>
        <c:axId val="1309203103"/>
        <c:axId val="1309202143"/>
      </c:barChart>
      <c:catAx>
        <c:axId val="130920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9202143"/>
        <c:crosses val="autoZero"/>
        <c:auto val="1"/>
        <c:lblAlgn val="ctr"/>
        <c:lblOffset val="100"/>
        <c:noMultiLvlLbl val="0"/>
      </c:catAx>
      <c:valAx>
        <c:axId val="1309202143"/>
        <c:scaling>
          <c:orientation val="minMax"/>
          <c:max val="1"/>
        </c:scaling>
        <c:delete val="1"/>
        <c:axPos val="l"/>
        <c:numFmt formatCode="0%" sourceLinked="1"/>
        <c:majorTickMark val="none"/>
        <c:minorTickMark val="none"/>
        <c:tickLblPos val="nextTo"/>
        <c:crossAx val="130920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15874</xdr:colOff>
      <xdr:row>27</xdr:row>
      <xdr:rowOff>107949</xdr:rowOff>
    </xdr:from>
    <xdr:to>
      <xdr:col>11</xdr:col>
      <xdr:colOff>768349</xdr:colOff>
      <xdr:row>38</xdr:row>
      <xdr:rowOff>73024</xdr:rowOff>
    </xdr:to>
    <xdr:graphicFrame macro="">
      <xdr:nvGraphicFramePr>
        <xdr:cNvPr id="4" name="차트 3">
          <a:extLst>
            <a:ext uri="{FF2B5EF4-FFF2-40B4-BE49-F238E27FC236}">
              <a16:creationId xmlns:a16="http://schemas.microsoft.com/office/drawing/2014/main" id="{97B5E231-08C9-A380-DA71-48999B65F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250825</xdr:colOff>
      <xdr:row>16</xdr:row>
      <xdr:rowOff>133350</xdr:rowOff>
    </xdr:from>
    <xdr:to>
      <xdr:col>4</xdr:col>
      <xdr:colOff>336550</xdr:colOff>
      <xdr:row>21</xdr:row>
      <xdr:rowOff>12700</xdr:rowOff>
    </xdr:to>
    <xdr:graphicFrame macro="">
      <xdr:nvGraphicFramePr>
        <xdr:cNvPr id="2" name="차트 1">
          <a:extLst>
            <a:ext uri="{FF2B5EF4-FFF2-40B4-BE49-F238E27FC236}">
              <a16:creationId xmlns:a16="http://schemas.microsoft.com/office/drawing/2014/main" id="{45F6D36B-3C84-0038-4284-8E1FF0ED2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796925</xdr:colOff>
      <xdr:row>16</xdr:row>
      <xdr:rowOff>120649</xdr:rowOff>
    </xdr:from>
    <xdr:to>
      <xdr:col>9</xdr:col>
      <xdr:colOff>609600</xdr:colOff>
      <xdr:row>21</xdr:row>
      <xdr:rowOff>50800</xdr:rowOff>
    </xdr:to>
    <xdr:graphicFrame macro="">
      <xdr:nvGraphicFramePr>
        <xdr:cNvPr id="3" name="차트 2">
          <a:extLst>
            <a:ext uri="{FF2B5EF4-FFF2-40B4-BE49-F238E27FC236}">
              <a16:creationId xmlns:a16="http://schemas.microsoft.com/office/drawing/2014/main" id="{DEE9DB0F-6F84-C301-74F9-A2265CA2B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D375-CF6E-4CE1-9FD1-26975EF3925B}">
  <dimension ref="A1:K31"/>
  <sheetViews>
    <sheetView workbookViewId="0">
      <selection activeCell="K2" sqref="K2:K26"/>
    </sheetView>
  </sheetViews>
  <sheetFormatPr defaultRowHeight="17.5" x14ac:dyDescent="0.45"/>
  <sheetData>
    <row r="1" spans="1:11" x14ac:dyDescent="0.45">
      <c r="A1" t="s">
        <v>105</v>
      </c>
      <c r="B1" t="s">
        <v>104</v>
      </c>
      <c r="E1" t="s">
        <v>105</v>
      </c>
      <c r="F1" t="s">
        <v>112</v>
      </c>
      <c r="I1" t="s">
        <v>105</v>
      </c>
      <c r="J1" t="s">
        <v>113</v>
      </c>
    </row>
    <row r="2" spans="1:11" x14ac:dyDescent="0.45">
      <c r="A2">
        <v>1</v>
      </c>
      <c r="B2" t="s">
        <v>102</v>
      </c>
      <c r="C2" t="s">
        <v>106</v>
      </c>
      <c r="E2">
        <v>1</v>
      </c>
      <c r="F2" t="s">
        <v>102</v>
      </c>
      <c r="G2" t="s">
        <v>109</v>
      </c>
      <c r="I2">
        <v>1</v>
      </c>
      <c r="J2" t="s">
        <v>102</v>
      </c>
      <c r="K2" t="s">
        <v>117</v>
      </c>
    </row>
    <row r="3" spans="1:11" x14ac:dyDescent="0.45">
      <c r="A3">
        <v>2</v>
      </c>
      <c r="B3" t="s">
        <v>102</v>
      </c>
      <c r="C3" t="s">
        <v>107</v>
      </c>
      <c r="E3">
        <v>2</v>
      </c>
      <c r="F3" t="s">
        <v>102</v>
      </c>
      <c r="G3" t="s">
        <v>109</v>
      </c>
      <c r="I3">
        <v>2</v>
      </c>
      <c r="J3" t="s">
        <v>102</v>
      </c>
      <c r="K3" t="s">
        <v>117</v>
      </c>
    </row>
    <row r="4" spans="1:11" x14ac:dyDescent="0.45">
      <c r="A4">
        <v>3</v>
      </c>
      <c r="B4" t="s">
        <v>102</v>
      </c>
      <c r="C4" t="s">
        <v>108</v>
      </c>
      <c r="E4">
        <v>3</v>
      </c>
      <c r="F4" t="s">
        <v>102</v>
      </c>
      <c r="G4" t="s">
        <v>109</v>
      </c>
      <c r="I4">
        <v>3</v>
      </c>
      <c r="J4" t="s">
        <v>102</v>
      </c>
      <c r="K4" t="s">
        <v>117</v>
      </c>
    </row>
    <row r="5" spans="1:11" x14ac:dyDescent="0.45">
      <c r="A5">
        <v>4</v>
      </c>
      <c r="B5" t="s">
        <v>102</v>
      </c>
      <c r="C5" t="s">
        <v>108</v>
      </c>
      <c r="E5">
        <v>4</v>
      </c>
      <c r="F5" t="s">
        <v>102</v>
      </c>
      <c r="G5" t="s">
        <v>110</v>
      </c>
      <c r="I5">
        <v>4</v>
      </c>
      <c r="J5" t="s">
        <v>102</v>
      </c>
      <c r="K5" t="s">
        <v>114</v>
      </c>
    </row>
    <row r="6" spans="1:11" x14ac:dyDescent="0.45">
      <c r="A6">
        <v>5</v>
      </c>
      <c r="B6" t="s">
        <v>102</v>
      </c>
      <c r="C6" t="s">
        <v>108</v>
      </c>
      <c r="E6">
        <v>5</v>
      </c>
      <c r="F6" t="s">
        <v>102</v>
      </c>
      <c r="G6" t="s">
        <v>109</v>
      </c>
      <c r="I6">
        <v>5</v>
      </c>
      <c r="J6" t="s">
        <v>102</v>
      </c>
      <c r="K6" t="s">
        <v>115</v>
      </c>
    </row>
    <row r="7" spans="1:11" x14ac:dyDescent="0.45">
      <c r="A7">
        <v>6</v>
      </c>
      <c r="B7" t="s">
        <v>102</v>
      </c>
      <c r="C7" t="s">
        <v>106</v>
      </c>
      <c r="E7">
        <v>6</v>
      </c>
      <c r="F7" t="s">
        <v>102</v>
      </c>
      <c r="G7" t="s">
        <v>111</v>
      </c>
      <c r="I7">
        <v>6</v>
      </c>
      <c r="J7" t="s">
        <v>102</v>
      </c>
      <c r="K7" t="s">
        <v>116</v>
      </c>
    </row>
    <row r="8" spans="1:11" x14ac:dyDescent="0.45">
      <c r="A8">
        <v>7</v>
      </c>
      <c r="B8" t="s">
        <v>102</v>
      </c>
      <c r="C8" t="s">
        <v>107</v>
      </c>
      <c r="E8">
        <v>7</v>
      </c>
      <c r="F8" t="s">
        <v>102</v>
      </c>
      <c r="G8" t="s">
        <v>111</v>
      </c>
      <c r="I8">
        <v>7</v>
      </c>
      <c r="J8" t="s">
        <v>102</v>
      </c>
      <c r="K8" t="s">
        <v>117</v>
      </c>
    </row>
    <row r="9" spans="1:11" x14ac:dyDescent="0.45">
      <c r="A9">
        <v>8</v>
      </c>
      <c r="B9" t="s">
        <v>102</v>
      </c>
      <c r="C9" t="s">
        <v>108</v>
      </c>
      <c r="E9">
        <v>8</v>
      </c>
      <c r="F9" t="s">
        <v>102</v>
      </c>
      <c r="G9" t="s">
        <v>111</v>
      </c>
      <c r="I9">
        <v>8</v>
      </c>
      <c r="J9" t="s">
        <v>102</v>
      </c>
      <c r="K9" t="s">
        <v>117</v>
      </c>
    </row>
    <row r="10" spans="1:11" x14ac:dyDescent="0.45">
      <c r="A10">
        <v>9</v>
      </c>
      <c r="B10" t="s">
        <v>102</v>
      </c>
      <c r="C10" t="s">
        <v>106</v>
      </c>
      <c r="E10">
        <v>9</v>
      </c>
      <c r="F10" t="s">
        <v>102</v>
      </c>
      <c r="G10" t="s">
        <v>111</v>
      </c>
      <c r="I10">
        <v>9</v>
      </c>
      <c r="J10" t="s">
        <v>102</v>
      </c>
      <c r="K10" t="s">
        <v>115</v>
      </c>
    </row>
    <row r="11" spans="1:11" x14ac:dyDescent="0.45">
      <c r="A11">
        <v>10</v>
      </c>
      <c r="B11" t="s">
        <v>102</v>
      </c>
      <c r="C11" t="s">
        <v>107</v>
      </c>
      <c r="E11">
        <v>10</v>
      </c>
      <c r="F11" t="s">
        <v>102</v>
      </c>
      <c r="G11" t="s">
        <v>109</v>
      </c>
      <c r="I11">
        <v>10</v>
      </c>
      <c r="J11" t="s">
        <v>102</v>
      </c>
      <c r="K11" t="s">
        <v>114</v>
      </c>
    </row>
    <row r="12" spans="1:11" x14ac:dyDescent="0.45">
      <c r="A12">
        <v>11</v>
      </c>
      <c r="B12" t="s">
        <v>102</v>
      </c>
      <c r="C12" t="s">
        <v>108</v>
      </c>
      <c r="E12">
        <v>11</v>
      </c>
      <c r="F12" t="s">
        <v>102</v>
      </c>
      <c r="G12" t="s">
        <v>109</v>
      </c>
      <c r="I12">
        <v>11</v>
      </c>
      <c r="J12" t="s">
        <v>102</v>
      </c>
      <c r="K12" t="s">
        <v>114</v>
      </c>
    </row>
    <row r="13" spans="1:11" x14ac:dyDescent="0.45">
      <c r="A13">
        <v>12</v>
      </c>
      <c r="B13" t="s">
        <v>102</v>
      </c>
      <c r="C13" t="s">
        <v>108</v>
      </c>
      <c r="E13">
        <v>12</v>
      </c>
      <c r="F13" t="s">
        <v>102</v>
      </c>
      <c r="G13" t="s">
        <v>109</v>
      </c>
      <c r="I13">
        <v>12</v>
      </c>
      <c r="J13" t="s">
        <v>102</v>
      </c>
      <c r="K13" t="s">
        <v>116</v>
      </c>
    </row>
    <row r="14" spans="1:11" x14ac:dyDescent="0.45">
      <c r="A14">
        <v>13</v>
      </c>
      <c r="B14" t="s">
        <v>102</v>
      </c>
      <c r="C14" t="s">
        <v>108</v>
      </c>
      <c r="E14">
        <v>13</v>
      </c>
      <c r="F14" t="s">
        <v>102</v>
      </c>
      <c r="G14" t="s">
        <v>109</v>
      </c>
      <c r="I14">
        <v>13</v>
      </c>
      <c r="J14" t="s">
        <v>102</v>
      </c>
      <c r="K14" t="s">
        <v>114</v>
      </c>
    </row>
    <row r="15" spans="1:11" x14ac:dyDescent="0.45">
      <c r="A15">
        <v>14</v>
      </c>
      <c r="B15" t="s">
        <v>102</v>
      </c>
      <c r="C15" t="s">
        <v>108</v>
      </c>
      <c r="E15">
        <v>14</v>
      </c>
      <c r="F15" t="s">
        <v>102</v>
      </c>
      <c r="G15" t="s">
        <v>111</v>
      </c>
      <c r="I15">
        <v>14</v>
      </c>
      <c r="J15" t="s">
        <v>102</v>
      </c>
      <c r="K15" t="s">
        <v>115</v>
      </c>
    </row>
    <row r="16" spans="1:11" x14ac:dyDescent="0.45">
      <c r="A16">
        <v>15</v>
      </c>
      <c r="B16" t="s">
        <v>102</v>
      </c>
      <c r="C16" t="s">
        <v>108</v>
      </c>
      <c r="E16">
        <v>15</v>
      </c>
      <c r="F16" t="s">
        <v>102</v>
      </c>
      <c r="G16" t="s">
        <v>110</v>
      </c>
      <c r="I16">
        <v>15</v>
      </c>
      <c r="J16" t="s">
        <v>102</v>
      </c>
      <c r="K16" t="s">
        <v>114</v>
      </c>
    </row>
    <row r="17" spans="1:11" x14ac:dyDescent="0.45">
      <c r="A17">
        <v>16</v>
      </c>
      <c r="B17" t="s">
        <v>102</v>
      </c>
      <c r="C17" t="s">
        <v>106</v>
      </c>
      <c r="E17">
        <v>16</v>
      </c>
      <c r="F17" t="s">
        <v>102</v>
      </c>
      <c r="G17" t="s">
        <v>110</v>
      </c>
      <c r="I17">
        <v>16</v>
      </c>
      <c r="J17" t="s">
        <v>102</v>
      </c>
      <c r="K17" t="s">
        <v>115</v>
      </c>
    </row>
    <row r="18" spans="1:11" x14ac:dyDescent="0.45">
      <c r="A18">
        <v>17</v>
      </c>
      <c r="B18" t="s">
        <v>102</v>
      </c>
      <c r="C18" t="s">
        <v>107</v>
      </c>
      <c r="E18">
        <v>17</v>
      </c>
      <c r="F18" t="s">
        <v>102</v>
      </c>
      <c r="G18" t="s">
        <v>109</v>
      </c>
      <c r="I18">
        <v>17</v>
      </c>
      <c r="J18" t="s">
        <v>102</v>
      </c>
      <c r="K18" t="s">
        <v>115</v>
      </c>
    </row>
    <row r="19" spans="1:11" x14ac:dyDescent="0.45">
      <c r="A19">
        <v>18</v>
      </c>
      <c r="B19" t="s">
        <v>102</v>
      </c>
      <c r="C19" t="s">
        <v>108</v>
      </c>
      <c r="E19">
        <v>18</v>
      </c>
      <c r="F19" t="s">
        <v>102</v>
      </c>
      <c r="G19" t="s">
        <v>109</v>
      </c>
      <c r="I19">
        <v>18</v>
      </c>
      <c r="J19" t="s">
        <v>102</v>
      </c>
      <c r="K19" t="s">
        <v>114</v>
      </c>
    </row>
    <row r="20" spans="1:11" x14ac:dyDescent="0.45">
      <c r="A20">
        <v>19</v>
      </c>
      <c r="B20" t="s">
        <v>102</v>
      </c>
      <c r="C20" t="s">
        <v>108</v>
      </c>
      <c r="E20">
        <v>19</v>
      </c>
      <c r="F20" t="s">
        <v>102</v>
      </c>
      <c r="G20" t="s">
        <v>111</v>
      </c>
      <c r="I20">
        <v>19</v>
      </c>
      <c r="J20" t="s">
        <v>102</v>
      </c>
      <c r="K20" t="s">
        <v>114</v>
      </c>
    </row>
    <row r="21" spans="1:11" x14ac:dyDescent="0.45">
      <c r="A21">
        <v>20</v>
      </c>
      <c r="B21" t="s">
        <v>102</v>
      </c>
      <c r="C21" t="s">
        <v>106</v>
      </c>
      <c r="E21">
        <v>20</v>
      </c>
      <c r="F21" t="s">
        <v>102</v>
      </c>
      <c r="G21" t="s">
        <v>110</v>
      </c>
      <c r="I21">
        <v>20</v>
      </c>
      <c r="J21" t="s">
        <v>102</v>
      </c>
      <c r="K21" t="s">
        <v>116</v>
      </c>
    </row>
    <row r="22" spans="1:11" x14ac:dyDescent="0.45">
      <c r="A22">
        <v>21</v>
      </c>
      <c r="B22" t="s">
        <v>102</v>
      </c>
      <c r="C22" t="s">
        <v>107</v>
      </c>
      <c r="E22">
        <v>21</v>
      </c>
      <c r="F22" t="s">
        <v>102</v>
      </c>
      <c r="G22" t="s">
        <v>110</v>
      </c>
      <c r="I22">
        <v>21</v>
      </c>
      <c r="J22" t="s">
        <v>102</v>
      </c>
      <c r="K22" t="s">
        <v>115</v>
      </c>
    </row>
    <row r="23" spans="1:11" x14ac:dyDescent="0.45">
      <c r="A23">
        <v>22</v>
      </c>
      <c r="B23" t="s">
        <v>102</v>
      </c>
      <c r="C23" t="s">
        <v>108</v>
      </c>
      <c r="E23">
        <v>22</v>
      </c>
      <c r="F23" t="s">
        <v>102</v>
      </c>
      <c r="G23" t="s">
        <v>109</v>
      </c>
      <c r="I23">
        <v>22</v>
      </c>
      <c r="J23" t="s">
        <v>102</v>
      </c>
      <c r="K23" t="s">
        <v>115</v>
      </c>
    </row>
    <row r="24" spans="1:11" x14ac:dyDescent="0.45">
      <c r="A24">
        <v>23</v>
      </c>
      <c r="B24" t="s">
        <v>102</v>
      </c>
      <c r="C24" t="s">
        <v>108</v>
      </c>
      <c r="E24">
        <v>23</v>
      </c>
      <c r="F24" t="s">
        <v>102</v>
      </c>
      <c r="G24" t="s">
        <v>109</v>
      </c>
      <c r="I24">
        <v>23</v>
      </c>
      <c r="J24" t="s">
        <v>102</v>
      </c>
      <c r="K24" t="s">
        <v>116</v>
      </c>
    </row>
    <row r="25" spans="1:11" x14ac:dyDescent="0.45">
      <c r="A25">
        <v>24</v>
      </c>
      <c r="B25" t="s">
        <v>102</v>
      </c>
      <c r="C25" t="s">
        <v>108</v>
      </c>
      <c r="E25">
        <v>24</v>
      </c>
      <c r="F25" t="s">
        <v>102</v>
      </c>
      <c r="G25" t="s">
        <v>110</v>
      </c>
      <c r="I25">
        <v>24</v>
      </c>
      <c r="J25" t="s">
        <v>102</v>
      </c>
      <c r="K25" t="s">
        <v>116</v>
      </c>
    </row>
    <row r="26" spans="1:11" x14ac:dyDescent="0.45">
      <c r="A26">
        <v>25</v>
      </c>
      <c r="B26" t="s">
        <v>102</v>
      </c>
      <c r="C26" t="s">
        <v>107</v>
      </c>
      <c r="E26">
        <v>25</v>
      </c>
      <c r="F26" t="s">
        <v>102</v>
      </c>
      <c r="G26" t="s">
        <v>109</v>
      </c>
      <c r="I26">
        <v>25</v>
      </c>
      <c r="J26" t="s">
        <v>102</v>
      </c>
      <c r="K26" t="s">
        <v>117</v>
      </c>
    </row>
    <row r="27" spans="1:11" x14ac:dyDescent="0.45">
      <c r="A27">
        <v>26</v>
      </c>
      <c r="B27" t="s">
        <v>103</v>
      </c>
      <c r="C27" t="s">
        <v>106</v>
      </c>
      <c r="E27">
        <v>26</v>
      </c>
      <c r="F27" t="s">
        <v>103</v>
      </c>
      <c r="G27" t="s">
        <v>110</v>
      </c>
      <c r="I27">
        <v>26</v>
      </c>
      <c r="J27" t="s">
        <v>103</v>
      </c>
      <c r="K27" t="s">
        <v>114</v>
      </c>
    </row>
    <row r="28" spans="1:11" x14ac:dyDescent="0.45">
      <c r="A28">
        <v>27</v>
      </c>
      <c r="B28" t="s">
        <v>103</v>
      </c>
      <c r="C28" t="s">
        <v>108</v>
      </c>
      <c r="E28">
        <v>27</v>
      </c>
      <c r="F28" t="s">
        <v>103</v>
      </c>
      <c r="G28" t="s">
        <v>110</v>
      </c>
      <c r="I28">
        <v>27</v>
      </c>
      <c r="J28" t="s">
        <v>103</v>
      </c>
      <c r="K28" t="s">
        <v>115</v>
      </c>
    </row>
    <row r="29" spans="1:11" x14ac:dyDescent="0.45">
      <c r="A29">
        <v>28</v>
      </c>
      <c r="B29" t="s">
        <v>103</v>
      </c>
      <c r="C29" t="s">
        <v>106</v>
      </c>
      <c r="E29">
        <v>28</v>
      </c>
      <c r="F29" t="s">
        <v>103</v>
      </c>
      <c r="G29" t="s">
        <v>109</v>
      </c>
      <c r="I29">
        <v>28</v>
      </c>
      <c r="J29" t="s">
        <v>103</v>
      </c>
      <c r="K29" t="s">
        <v>115</v>
      </c>
    </row>
    <row r="30" spans="1:11" x14ac:dyDescent="0.45">
      <c r="A30">
        <v>29</v>
      </c>
      <c r="B30" t="s">
        <v>103</v>
      </c>
      <c r="C30" t="s">
        <v>108</v>
      </c>
      <c r="E30">
        <v>29</v>
      </c>
      <c r="F30" t="s">
        <v>103</v>
      </c>
      <c r="G30" t="s">
        <v>110</v>
      </c>
      <c r="I30">
        <v>29</v>
      </c>
      <c r="J30" t="s">
        <v>103</v>
      </c>
      <c r="K30" t="s">
        <v>116</v>
      </c>
    </row>
    <row r="31" spans="1:11" x14ac:dyDescent="0.45">
      <c r="A31">
        <v>30</v>
      </c>
      <c r="B31" t="s">
        <v>103</v>
      </c>
      <c r="C31" t="s">
        <v>106</v>
      </c>
      <c r="E31">
        <v>30</v>
      </c>
      <c r="F31" t="s">
        <v>103</v>
      </c>
      <c r="G31" t="s">
        <v>111</v>
      </c>
      <c r="I31">
        <v>30</v>
      </c>
      <c r="J31" t="s">
        <v>103</v>
      </c>
      <c r="K31" t="s">
        <v>114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opLeftCell="A17" workbookViewId="0">
      <selection activeCell="H2" sqref="H2:H43"/>
    </sheetView>
  </sheetViews>
  <sheetFormatPr defaultRowHeight="17.5" x14ac:dyDescent="0.45"/>
  <cols>
    <col min="2" max="2" width="10.84375" bestFit="1" customWidth="1"/>
  </cols>
  <sheetData>
    <row r="1" spans="1:9" x14ac:dyDescent="0.45">
      <c r="A1" t="s">
        <v>0</v>
      </c>
      <c r="B1" t="s">
        <v>1</v>
      </c>
      <c r="C1">
        <v>26</v>
      </c>
      <c r="D1">
        <v>27</v>
      </c>
      <c r="E1">
        <v>28</v>
      </c>
      <c r="F1">
        <v>29</v>
      </c>
      <c r="G1">
        <v>30</v>
      </c>
      <c r="I1" t="s">
        <v>100</v>
      </c>
    </row>
    <row r="2" spans="1:9" x14ac:dyDescent="0.45">
      <c r="A2" t="s">
        <v>2</v>
      </c>
      <c r="B2" t="s">
        <v>3</v>
      </c>
      <c r="C2">
        <v>4</v>
      </c>
      <c r="D2">
        <v>4</v>
      </c>
      <c r="E2">
        <v>4</v>
      </c>
      <c r="F2">
        <v>4</v>
      </c>
      <c r="G2">
        <v>4</v>
      </c>
      <c r="H2">
        <f>SUM(C2:G2)</f>
        <v>20</v>
      </c>
    </row>
    <row r="3" spans="1:9" x14ac:dyDescent="0.45">
      <c r="A3" t="s">
        <v>2</v>
      </c>
      <c r="B3" t="s">
        <v>4</v>
      </c>
      <c r="C3">
        <v>2</v>
      </c>
      <c r="D3">
        <v>2</v>
      </c>
      <c r="E3">
        <v>2</v>
      </c>
      <c r="F3">
        <v>4</v>
      </c>
      <c r="G3">
        <v>4</v>
      </c>
      <c r="H3">
        <f t="shared" ref="H3:H43" si="0">SUM(C3:G3)</f>
        <v>14</v>
      </c>
    </row>
    <row r="4" spans="1:9" x14ac:dyDescent="0.45">
      <c r="A4" t="s">
        <v>2</v>
      </c>
      <c r="B4" t="s">
        <v>5</v>
      </c>
      <c r="C4">
        <v>4</v>
      </c>
      <c r="D4">
        <v>2</v>
      </c>
      <c r="E4">
        <v>2</v>
      </c>
      <c r="F4">
        <v>4</v>
      </c>
      <c r="G4">
        <v>4</v>
      </c>
      <c r="H4">
        <f t="shared" si="0"/>
        <v>16</v>
      </c>
    </row>
    <row r="5" spans="1:9" x14ac:dyDescent="0.45">
      <c r="A5" t="s">
        <v>2</v>
      </c>
      <c r="B5" t="s">
        <v>6</v>
      </c>
      <c r="C5">
        <v>4</v>
      </c>
      <c r="D5">
        <v>2</v>
      </c>
      <c r="E5">
        <v>2</v>
      </c>
      <c r="F5">
        <v>2</v>
      </c>
      <c r="G5">
        <v>4</v>
      </c>
      <c r="H5">
        <f t="shared" si="0"/>
        <v>14</v>
      </c>
    </row>
    <row r="6" spans="1:9" x14ac:dyDescent="0.45">
      <c r="A6" t="s">
        <v>2</v>
      </c>
      <c r="B6" t="s">
        <v>7</v>
      </c>
      <c r="C6">
        <v>4</v>
      </c>
      <c r="D6">
        <v>2</v>
      </c>
      <c r="E6">
        <v>4</v>
      </c>
      <c r="F6">
        <v>2</v>
      </c>
      <c r="G6">
        <v>4</v>
      </c>
      <c r="H6">
        <f t="shared" si="0"/>
        <v>16</v>
      </c>
    </row>
    <row r="7" spans="1:9" x14ac:dyDescent="0.45">
      <c r="A7" t="s">
        <v>2</v>
      </c>
      <c r="B7" t="s">
        <v>8</v>
      </c>
      <c r="C7">
        <v>4</v>
      </c>
      <c r="D7">
        <v>3</v>
      </c>
      <c r="E7">
        <v>2</v>
      </c>
      <c r="F7">
        <v>3</v>
      </c>
      <c r="G7">
        <v>2</v>
      </c>
      <c r="H7">
        <f t="shared" si="0"/>
        <v>14</v>
      </c>
    </row>
    <row r="8" spans="1:9" x14ac:dyDescent="0.45">
      <c r="A8" t="s">
        <v>2</v>
      </c>
      <c r="B8" t="s">
        <v>9</v>
      </c>
      <c r="C8">
        <v>2</v>
      </c>
      <c r="D8">
        <v>2</v>
      </c>
      <c r="E8">
        <v>2</v>
      </c>
      <c r="F8">
        <v>2</v>
      </c>
      <c r="G8">
        <v>3</v>
      </c>
      <c r="H8">
        <f t="shared" si="0"/>
        <v>11</v>
      </c>
    </row>
    <row r="9" spans="1:9" x14ac:dyDescent="0.45">
      <c r="A9" t="s">
        <v>2</v>
      </c>
      <c r="B9" t="s">
        <v>10</v>
      </c>
      <c r="C9">
        <v>4</v>
      </c>
      <c r="D9">
        <v>3</v>
      </c>
      <c r="E9">
        <v>3</v>
      </c>
      <c r="F9">
        <v>4</v>
      </c>
      <c r="G9">
        <v>3</v>
      </c>
      <c r="H9">
        <f t="shared" si="0"/>
        <v>17</v>
      </c>
    </row>
    <row r="10" spans="1:9" x14ac:dyDescent="0.45">
      <c r="A10" t="s">
        <v>2</v>
      </c>
      <c r="B10" t="s">
        <v>11</v>
      </c>
      <c r="C10">
        <v>4</v>
      </c>
      <c r="D10">
        <v>4</v>
      </c>
      <c r="E10">
        <v>3</v>
      </c>
      <c r="F10">
        <v>2</v>
      </c>
      <c r="G10">
        <v>4</v>
      </c>
      <c r="H10">
        <f t="shared" si="0"/>
        <v>17</v>
      </c>
    </row>
    <row r="11" spans="1:9" x14ac:dyDescent="0.45">
      <c r="A11" t="s">
        <v>2</v>
      </c>
      <c r="B11" t="s">
        <v>12</v>
      </c>
      <c r="C11">
        <v>4</v>
      </c>
      <c r="D11">
        <v>3</v>
      </c>
      <c r="E11">
        <v>3</v>
      </c>
      <c r="F11">
        <v>4</v>
      </c>
      <c r="G11">
        <v>4</v>
      </c>
      <c r="H11">
        <f t="shared" si="0"/>
        <v>18</v>
      </c>
    </row>
    <row r="12" spans="1:9" x14ac:dyDescent="0.45">
      <c r="A12" t="s">
        <v>2</v>
      </c>
      <c r="B12" t="s">
        <v>13</v>
      </c>
      <c r="C12">
        <v>4</v>
      </c>
      <c r="D12">
        <v>4</v>
      </c>
      <c r="E12">
        <v>4</v>
      </c>
      <c r="F12">
        <v>3</v>
      </c>
      <c r="G12">
        <v>4</v>
      </c>
      <c r="H12">
        <f t="shared" si="0"/>
        <v>19</v>
      </c>
    </row>
    <row r="13" spans="1:9" x14ac:dyDescent="0.45">
      <c r="A13" t="s">
        <v>2</v>
      </c>
      <c r="B13" t="s">
        <v>14</v>
      </c>
      <c r="C13">
        <v>4</v>
      </c>
      <c r="D13">
        <v>3</v>
      </c>
      <c r="E13">
        <v>2</v>
      </c>
      <c r="F13">
        <v>2</v>
      </c>
      <c r="G13">
        <v>2</v>
      </c>
      <c r="H13">
        <f t="shared" si="0"/>
        <v>13</v>
      </c>
    </row>
    <row r="14" spans="1:9" x14ac:dyDescent="0.45">
      <c r="A14" t="s">
        <v>2</v>
      </c>
      <c r="B14" t="s">
        <v>15</v>
      </c>
      <c r="C14">
        <v>4</v>
      </c>
      <c r="D14">
        <v>2</v>
      </c>
      <c r="E14">
        <v>3</v>
      </c>
      <c r="F14">
        <v>4</v>
      </c>
      <c r="G14">
        <v>3</v>
      </c>
      <c r="H14">
        <f t="shared" si="0"/>
        <v>16</v>
      </c>
    </row>
    <row r="15" spans="1:9" x14ac:dyDescent="0.45">
      <c r="A15" t="s">
        <v>2</v>
      </c>
      <c r="B15" t="s">
        <v>16</v>
      </c>
      <c r="C15">
        <v>4</v>
      </c>
      <c r="D15">
        <v>3</v>
      </c>
      <c r="E15">
        <v>2</v>
      </c>
      <c r="F15">
        <v>2</v>
      </c>
      <c r="G15">
        <v>3</v>
      </c>
      <c r="H15">
        <f t="shared" si="0"/>
        <v>14</v>
      </c>
    </row>
    <row r="16" spans="1:9" x14ac:dyDescent="0.45">
      <c r="A16" t="s">
        <v>2</v>
      </c>
      <c r="B16" t="s">
        <v>17</v>
      </c>
      <c r="C16">
        <v>2</v>
      </c>
      <c r="D16">
        <v>3</v>
      </c>
      <c r="E16">
        <v>3</v>
      </c>
      <c r="F16">
        <v>3</v>
      </c>
      <c r="G16">
        <v>2</v>
      </c>
      <c r="H16">
        <f t="shared" si="0"/>
        <v>13</v>
      </c>
    </row>
    <row r="17" spans="1:8" x14ac:dyDescent="0.45">
      <c r="A17" t="s">
        <v>2</v>
      </c>
      <c r="B17" t="s">
        <v>18</v>
      </c>
      <c r="C17">
        <v>4</v>
      </c>
      <c r="D17">
        <v>3</v>
      </c>
      <c r="E17">
        <v>4</v>
      </c>
      <c r="F17">
        <v>3</v>
      </c>
      <c r="G17">
        <v>3</v>
      </c>
      <c r="H17">
        <f t="shared" si="0"/>
        <v>17</v>
      </c>
    </row>
    <row r="18" spans="1:8" x14ac:dyDescent="0.45">
      <c r="A18" t="s">
        <v>2</v>
      </c>
      <c r="B18" t="s">
        <v>19</v>
      </c>
      <c r="C18">
        <v>4</v>
      </c>
      <c r="D18">
        <v>4</v>
      </c>
      <c r="E18">
        <v>4</v>
      </c>
      <c r="F18">
        <v>2</v>
      </c>
      <c r="G18">
        <v>4</v>
      </c>
      <c r="H18">
        <f t="shared" si="0"/>
        <v>18</v>
      </c>
    </row>
    <row r="19" spans="1:8" x14ac:dyDescent="0.45">
      <c r="A19" t="s">
        <v>2</v>
      </c>
      <c r="B19" t="s">
        <v>20</v>
      </c>
      <c r="C19">
        <v>4</v>
      </c>
      <c r="D19">
        <v>2</v>
      </c>
      <c r="E19">
        <v>2</v>
      </c>
      <c r="F19">
        <v>4</v>
      </c>
      <c r="G19">
        <v>2</v>
      </c>
      <c r="H19">
        <f t="shared" si="0"/>
        <v>14</v>
      </c>
    </row>
    <row r="20" spans="1:8" x14ac:dyDescent="0.45">
      <c r="A20" t="s">
        <v>2</v>
      </c>
      <c r="B20" t="s">
        <v>21</v>
      </c>
      <c r="C20">
        <v>2</v>
      </c>
      <c r="D20">
        <v>2</v>
      </c>
      <c r="E20">
        <v>2</v>
      </c>
      <c r="F20">
        <v>4</v>
      </c>
      <c r="G20">
        <v>2</v>
      </c>
      <c r="H20">
        <f t="shared" si="0"/>
        <v>12</v>
      </c>
    </row>
    <row r="21" spans="1:8" x14ac:dyDescent="0.45">
      <c r="A21" t="s">
        <v>2</v>
      </c>
      <c r="B21" t="s">
        <v>22</v>
      </c>
      <c r="C21">
        <v>4</v>
      </c>
      <c r="D21">
        <v>4</v>
      </c>
      <c r="E21">
        <v>2</v>
      </c>
      <c r="F21">
        <v>2</v>
      </c>
      <c r="G21">
        <v>2</v>
      </c>
      <c r="H21">
        <f t="shared" si="0"/>
        <v>14</v>
      </c>
    </row>
    <row r="22" spans="1:8" x14ac:dyDescent="0.45">
      <c r="A22" t="s">
        <v>2</v>
      </c>
      <c r="B22" t="s">
        <v>23</v>
      </c>
      <c r="C22">
        <v>4</v>
      </c>
      <c r="D22">
        <v>2</v>
      </c>
      <c r="E22">
        <v>2</v>
      </c>
      <c r="F22">
        <v>4</v>
      </c>
      <c r="G22">
        <v>2</v>
      </c>
      <c r="H22">
        <f t="shared" si="0"/>
        <v>14</v>
      </c>
    </row>
    <row r="23" spans="1:8" x14ac:dyDescent="0.45">
      <c r="A23" t="s">
        <v>2</v>
      </c>
      <c r="B23" t="s">
        <v>24</v>
      </c>
      <c r="C23">
        <v>2</v>
      </c>
      <c r="D23">
        <v>2</v>
      </c>
      <c r="E23">
        <v>2</v>
      </c>
      <c r="F23">
        <v>2</v>
      </c>
      <c r="G23">
        <v>2</v>
      </c>
      <c r="H23">
        <f t="shared" si="0"/>
        <v>10</v>
      </c>
    </row>
    <row r="24" spans="1:8" x14ac:dyDescent="0.45">
      <c r="A24" t="s">
        <v>2</v>
      </c>
      <c r="B24" t="s">
        <v>25</v>
      </c>
      <c r="C24">
        <v>4</v>
      </c>
      <c r="D24">
        <v>4</v>
      </c>
      <c r="E24">
        <v>4</v>
      </c>
      <c r="F24">
        <v>2</v>
      </c>
      <c r="G24">
        <v>4</v>
      </c>
      <c r="H24">
        <f t="shared" si="0"/>
        <v>18</v>
      </c>
    </row>
    <row r="25" spans="1:8" x14ac:dyDescent="0.45">
      <c r="A25" t="s">
        <v>2</v>
      </c>
      <c r="B25" t="s">
        <v>26</v>
      </c>
      <c r="C25">
        <v>4</v>
      </c>
      <c r="D25">
        <v>2</v>
      </c>
      <c r="E25">
        <v>3</v>
      </c>
      <c r="F25">
        <v>4</v>
      </c>
      <c r="G25">
        <v>3</v>
      </c>
      <c r="H25">
        <f t="shared" si="0"/>
        <v>16</v>
      </c>
    </row>
    <row r="26" spans="1:8" x14ac:dyDescent="0.45">
      <c r="A26" t="s">
        <v>2</v>
      </c>
      <c r="B26" t="s">
        <v>27</v>
      </c>
      <c r="C26">
        <v>4</v>
      </c>
      <c r="D26">
        <v>4</v>
      </c>
      <c r="E26">
        <v>4</v>
      </c>
      <c r="F26">
        <v>2</v>
      </c>
      <c r="G26">
        <v>4</v>
      </c>
      <c r="H26">
        <f t="shared" si="0"/>
        <v>18</v>
      </c>
    </row>
    <row r="27" spans="1:8" x14ac:dyDescent="0.45">
      <c r="A27" t="s">
        <v>2</v>
      </c>
      <c r="B27" t="s">
        <v>28</v>
      </c>
      <c r="C27">
        <v>4</v>
      </c>
      <c r="D27">
        <v>4</v>
      </c>
      <c r="E27">
        <v>4</v>
      </c>
      <c r="F27">
        <v>4</v>
      </c>
      <c r="G27">
        <v>3</v>
      </c>
      <c r="H27">
        <f t="shared" si="0"/>
        <v>19</v>
      </c>
    </row>
    <row r="28" spans="1:8" x14ac:dyDescent="0.45">
      <c r="A28" t="s">
        <v>2</v>
      </c>
      <c r="B28" t="s">
        <v>29</v>
      </c>
      <c r="C28">
        <v>2</v>
      </c>
      <c r="D28">
        <v>2</v>
      </c>
      <c r="E28">
        <v>2</v>
      </c>
      <c r="F28">
        <v>2</v>
      </c>
      <c r="G28">
        <v>3</v>
      </c>
      <c r="H28">
        <f t="shared" si="0"/>
        <v>11</v>
      </c>
    </row>
    <row r="29" spans="1:8" x14ac:dyDescent="0.45">
      <c r="A29" t="s">
        <v>2</v>
      </c>
      <c r="B29" t="s">
        <v>30</v>
      </c>
      <c r="C29">
        <v>4</v>
      </c>
      <c r="D29">
        <v>3</v>
      </c>
      <c r="E29">
        <v>3</v>
      </c>
      <c r="F29">
        <v>2</v>
      </c>
      <c r="G29">
        <v>3</v>
      </c>
      <c r="H29">
        <f t="shared" si="0"/>
        <v>15</v>
      </c>
    </row>
    <row r="30" spans="1:8" x14ac:dyDescent="0.45">
      <c r="A30" t="s">
        <v>2</v>
      </c>
      <c r="B30" t="s">
        <v>31</v>
      </c>
      <c r="C30">
        <v>4</v>
      </c>
      <c r="D30">
        <v>3</v>
      </c>
      <c r="E30">
        <v>4</v>
      </c>
      <c r="F30">
        <v>2</v>
      </c>
      <c r="G30">
        <v>4</v>
      </c>
      <c r="H30">
        <f t="shared" si="0"/>
        <v>17</v>
      </c>
    </row>
    <row r="31" spans="1:8" x14ac:dyDescent="0.45">
      <c r="A31" t="s">
        <v>2</v>
      </c>
      <c r="B31" t="s">
        <v>32</v>
      </c>
      <c r="C31">
        <v>2</v>
      </c>
      <c r="D31">
        <v>3</v>
      </c>
      <c r="E31">
        <v>3</v>
      </c>
      <c r="F31">
        <v>4</v>
      </c>
      <c r="G31">
        <v>4</v>
      </c>
      <c r="H31">
        <f t="shared" si="0"/>
        <v>16</v>
      </c>
    </row>
    <row r="32" spans="1:8" x14ac:dyDescent="0.45">
      <c r="A32" t="s">
        <v>2</v>
      </c>
      <c r="B32" t="s">
        <v>33</v>
      </c>
      <c r="C32">
        <v>4</v>
      </c>
      <c r="D32">
        <v>4</v>
      </c>
      <c r="E32">
        <v>3</v>
      </c>
      <c r="F32">
        <v>4</v>
      </c>
      <c r="G32">
        <v>2</v>
      </c>
      <c r="H32">
        <f t="shared" si="0"/>
        <v>17</v>
      </c>
    </row>
    <row r="33" spans="1:8" x14ac:dyDescent="0.45">
      <c r="A33" t="s">
        <v>2</v>
      </c>
      <c r="B33" t="s">
        <v>34</v>
      </c>
      <c r="C33">
        <v>4</v>
      </c>
      <c r="D33">
        <v>4</v>
      </c>
      <c r="E33">
        <v>4</v>
      </c>
      <c r="F33">
        <v>4</v>
      </c>
      <c r="G33">
        <v>3</v>
      </c>
      <c r="H33">
        <f t="shared" si="0"/>
        <v>19</v>
      </c>
    </row>
    <row r="34" spans="1:8" x14ac:dyDescent="0.45">
      <c r="A34" t="s">
        <v>2</v>
      </c>
      <c r="B34" t="s">
        <v>35</v>
      </c>
      <c r="C34">
        <v>4</v>
      </c>
      <c r="D34">
        <v>3</v>
      </c>
      <c r="E34">
        <v>3</v>
      </c>
      <c r="F34">
        <v>3</v>
      </c>
      <c r="G34">
        <v>4</v>
      </c>
      <c r="H34">
        <f t="shared" si="0"/>
        <v>17</v>
      </c>
    </row>
    <row r="35" spans="1:8" x14ac:dyDescent="0.45">
      <c r="A35" t="s">
        <v>2</v>
      </c>
      <c r="B35" t="s">
        <v>36</v>
      </c>
      <c r="C35">
        <v>4</v>
      </c>
      <c r="D35">
        <v>3</v>
      </c>
      <c r="E35">
        <v>4</v>
      </c>
      <c r="F35">
        <v>3</v>
      </c>
      <c r="G35">
        <v>3</v>
      </c>
      <c r="H35">
        <f t="shared" si="0"/>
        <v>17</v>
      </c>
    </row>
    <row r="36" spans="1:8" x14ac:dyDescent="0.45">
      <c r="A36" t="s">
        <v>2</v>
      </c>
      <c r="B36" t="s">
        <v>37</v>
      </c>
      <c r="C36">
        <v>4</v>
      </c>
      <c r="D36">
        <v>4</v>
      </c>
      <c r="E36">
        <v>4</v>
      </c>
      <c r="F36">
        <v>4</v>
      </c>
      <c r="G36">
        <v>4</v>
      </c>
      <c r="H36">
        <f t="shared" si="0"/>
        <v>20</v>
      </c>
    </row>
    <row r="37" spans="1:8" x14ac:dyDescent="0.45">
      <c r="A37" t="s">
        <v>2</v>
      </c>
      <c r="B37" t="s">
        <v>38</v>
      </c>
      <c r="C37">
        <v>4</v>
      </c>
      <c r="D37">
        <v>3</v>
      </c>
      <c r="E37">
        <v>3</v>
      </c>
      <c r="F37">
        <v>3</v>
      </c>
      <c r="G37">
        <v>3</v>
      </c>
      <c r="H37">
        <f t="shared" si="0"/>
        <v>16</v>
      </c>
    </row>
    <row r="38" spans="1:8" x14ac:dyDescent="0.45">
      <c r="A38" t="s">
        <v>2</v>
      </c>
      <c r="B38" t="s">
        <v>39</v>
      </c>
      <c r="C38">
        <v>4</v>
      </c>
      <c r="D38">
        <v>3</v>
      </c>
      <c r="E38">
        <v>2</v>
      </c>
      <c r="F38">
        <v>3</v>
      </c>
      <c r="G38">
        <v>2</v>
      </c>
      <c r="H38">
        <f t="shared" si="0"/>
        <v>14</v>
      </c>
    </row>
    <row r="39" spans="1:8" x14ac:dyDescent="0.45">
      <c r="A39" t="s">
        <v>2</v>
      </c>
      <c r="B39" t="s">
        <v>40</v>
      </c>
      <c r="C39">
        <v>4</v>
      </c>
      <c r="D39">
        <v>3</v>
      </c>
      <c r="E39">
        <v>3</v>
      </c>
      <c r="F39">
        <v>4</v>
      </c>
      <c r="G39">
        <v>3</v>
      </c>
      <c r="H39">
        <f t="shared" si="0"/>
        <v>17</v>
      </c>
    </row>
    <row r="40" spans="1:8" x14ac:dyDescent="0.45">
      <c r="A40" t="s">
        <v>2</v>
      </c>
      <c r="B40" t="s">
        <v>41</v>
      </c>
      <c r="C40">
        <v>4</v>
      </c>
      <c r="D40">
        <v>4</v>
      </c>
      <c r="E40">
        <v>4</v>
      </c>
      <c r="F40" s="26">
        <v>0</v>
      </c>
      <c r="G40" s="26">
        <v>0</v>
      </c>
      <c r="H40">
        <f t="shared" si="0"/>
        <v>12</v>
      </c>
    </row>
    <row r="41" spans="1:8" x14ac:dyDescent="0.45">
      <c r="A41" t="s">
        <v>2</v>
      </c>
      <c r="B41" t="s">
        <v>42</v>
      </c>
      <c r="C41">
        <v>4</v>
      </c>
      <c r="D41">
        <v>4</v>
      </c>
      <c r="E41">
        <v>2</v>
      </c>
      <c r="F41" s="26">
        <v>0</v>
      </c>
      <c r="G41" s="26">
        <v>0</v>
      </c>
      <c r="H41">
        <f t="shared" si="0"/>
        <v>10</v>
      </c>
    </row>
    <row r="42" spans="1:8" x14ac:dyDescent="0.45">
      <c r="A42" t="s">
        <v>2</v>
      </c>
      <c r="B42" t="s">
        <v>101</v>
      </c>
      <c r="C42">
        <v>4</v>
      </c>
      <c r="D42">
        <v>2</v>
      </c>
      <c r="E42">
        <v>4</v>
      </c>
      <c r="F42">
        <v>4</v>
      </c>
      <c r="G42">
        <v>4</v>
      </c>
      <c r="H42">
        <f t="shared" si="0"/>
        <v>18</v>
      </c>
    </row>
    <row r="43" spans="1:8" x14ac:dyDescent="0.45">
      <c r="A43" t="s">
        <v>2</v>
      </c>
      <c r="B43" t="s">
        <v>121</v>
      </c>
      <c r="C43">
        <v>3</v>
      </c>
      <c r="D43">
        <v>3</v>
      </c>
      <c r="E43">
        <v>4</v>
      </c>
      <c r="F43">
        <v>4</v>
      </c>
      <c r="G43">
        <v>3</v>
      </c>
      <c r="H43">
        <f t="shared" si="0"/>
        <v>17</v>
      </c>
    </row>
  </sheetData>
  <sortState xmlns:xlrd2="http://schemas.microsoft.com/office/spreadsheetml/2017/richdata2" ref="L2:L42">
    <sortCondition ref="L2:L42"/>
  </sortState>
  <phoneticPr fontId="1" type="noConversion"/>
  <pageMargins left="0.7" right="0.7" top="0.75" bottom="0.75" header="0.3" footer="0.3"/>
  <ignoredErrors>
    <ignoredError sqref="A1:B4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E22B-1783-4232-A746-3510772920EB}">
  <dimension ref="A1:I21"/>
  <sheetViews>
    <sheetView workbookViewId="0">
      <selection activeCell="B2" sqref="B2:B21"/>
    </sheetView>
  </sheetViews>
  <sheetFormatPr defaultRowHeight="17.5" x14ac:dyDescent="0.45"/>
  <cols>
    <col min="1" max="1" width="9.23046875" style="1"/>
    <col min="2" max="2" width="10.84375" style="1" bestFit="1" customWidth="1"/>
    <col min="3" max="16384" width="9.23046875" style="1"/>
  </cols>
  <sheetData>
    <row r="1" spans="1:9" x14ac:dyDescent="0.45">
      <c r="A1" s="1" t="s">
        <v>0</v>
      </c>
      <c r="B1" s="1" t="s">
        <v>1</v>
      </c>
      <c r="C1" s="1">
        <v>26</v>
      </c>
      <c r="D1" s="1">
        <v>27</v>
      </c>
      <c r="E1" s="1">
        <v>28</v>
      </c>
      <c r="F1" s="1">
        <v>29</v>
      </c>
      <c r="G1" s="1">
        <v>30</v>
      </c>
      <c r="I1" s="1" t="s">
        <v>100</v>
      </c>
    </row>
    <row r="2" spans="1:9" x14ac:dyDescent="0.45">
      <c r="A2" s="1" t="s">
        <v>43</v>
      </c>
      <c r="B2" s="1" t="s">
        <v>44</v>
      </c>
      <c r="C2" s="1">
        <v>3</v>
      </c>
      <c r="D2" s="1">
        <v>4</v>
      </c>
      <c r="E2" s="1">
        <v>4</v>
      </c>
      <c r="F2" s="1">
        <v>3</v>
      </c>
      <c r="G2" s="1">
        <v>2</v>
      </c>
      <c r="H2" s="1">
        <f>SUM(C2:G2)</f>
        <v>16</v>
      </c>
    </row>
    <row r="3" spans="1:9" x14ac:dyDescent="0.45">
      <c r="A3" s="1" t="s">
        <v>43</v>
      </c>
      <c r="B3" s="1" t="s">
        <v>45</v>
      </c>
      <c r="C3" s="1">
        <v>4</v>
      </c>
      <c r="D3" s="1">
        <v>3</v>
      </c>
      <c r="E3" s="1">
        <v>4</v>
      </c>
      <c r="F3" s="1">
        <v>4</v>
      </c>
      <c r="G3" s="1">
        <v>3</v>
      </c>
      <c r="H3" s="1">
        <f t="shared" ref="H3:H21" si="0">SUM(C3:G3)</f>
        <v>18</v>
      </c>
    </row>
    <row r="4" spans="1:9" x14ac:dyDescent="0.45">
      <c r="A4" s="1" t="s">
        <v>43</v>
      </c>
      <c r="B4" s="1" t="s">
        <v>46</v>
      </c>
      <c r="C4" s="1">
        <v>4</v>
      </c>
      <c r="D4" s="1">
        <v>3</v>
      </c>
      <c r="E4" s="1">
        <v>4</v>
      </c>
      <c r="F4" s="1">
        <v>4</v>
      </c>
      <c r="G4" s="1">
        <v>2</v>
      </c>
      <c r="H4" s="1">
        <f t="shared" si="0"/>
        <v>17</v>
      </c>
    </row>
    <row r="5" spans="1:9" x14ac:dyDescent="0.45">
      <c r="A5" s="1" t="s">
        <v>43</v>
      </c>
      <c r="B5" s="1" t="s">
        <v>47</v>
      </c>
      <c r="C5" s="1">
        <v>3</v>
      </c>
      <c r="D5" s="1">
        <v>4</v>
      </c>
      <c r="E5" s="1">
        <v>4</v>
      </c>
      <c r="F5" s="1">
        <v>4</v>
      </c>
      <c r="G5" s="1">
        <v>3</v>
      </c>
      <c r="H5" s="1">
        <f t="shared" si="0"/>
        <v>18</v>
      </c>
    </row>
    <row r="6" spans="1:9" x14ac:dyDescent="0.45">
      <c r="A6" s="1" t="s">
        <v>43</v>
      </c>
      <c r="B6" s="1" t="s">
        <v>48</v>
      </c>
      <c r="C6" s="1">
        <v>4</v>
      </c>
      <c r="D6" s="1">
        <v>4</v>
      </c>
      <c r="E6" s="1">
        <v>4</v>
      </c>
      <c r="F6" s="1">
        <v>4</v>
      </c>
      <c r="G6" s="1">
        <v>2</v>
      </c>
      <c r="H6" s="1">
        <f t="shared" si="0"/>
        <v>18</v>
      </c>
    </row>
    <row r="7" spans="1:9" x14ac:dyDescent="0.45">
      <c r="A7" s="1" t="s">
        <v>43</v>
      </c>
      <c r="B7" s="1" t="s">
        <v>49</v>
      </c>
      <c r="C7" s="1">
        <v>3</v>
      </c>
      <c r="D7" s="1">
        <v>4</v>
      </c>
      <c r="E7" s="1">
        <v>4</v>
      </c>
      <c r="F7" s="1">
        <v>3</v>
      </c>
      <c r="G7" s="1">
        <v>4</v>
      </c>
      <c r="H7" s="1">
        <f t="shared" si="0"/>
        <v>18</v>
      </c>
    </row>
    <row r="8" spans="1:9" x14ac:dyDescent="0.45">
      <c r="A8" s="1" t="s">
        <v>43</v>
      </c>
      <c r="B8" s="1" t="s">
        <v>50</v>
      </c>
      <c r="C8" s="1">
        <v>2</v>
      </c>
      <c r="D8" s="1">
        <v>4</v>
      </c>
      <c r="E8" s="1">
        <v>4</v>
      </c>
      <c r="F8" s="1">
        <v>2</v>
      </c>
      <c r="G8" s="1">
        <v>2</v>
      </c>
      <c r="H8" s="1">
        <f t="shared" si="0"/>
        <v>14</v>
      </c>
    </row>
    <row r="9" spans="1:9" x14ac:dyDescent="0.45">
      <c r="A9" s="1" t="s">
        <v>43</v>
      </c>
      <c r="B9" s="1" t="s">
        <v>51</v>
      </c>
      <c r="C9" s="1">
        <v>3</v>
      </c>
      <c r="D9" s="1">
        <v>4</v>
      </c>
      <c r="E9" s="1">
        <v>4</v>
      </c>
      <c r="F9" s="1">
        <v>3</v>
      </c>
      <c r="G9" s="1">
        <v>2</v>
      </c>
      <c r="H9" s="1">
        <f t="shared" si="0"/>
        <v>16</v>
      </c>
    </row>
    <row r="10" spans="1:9" x14ac:dyDescent="0.45">
      <c r="A10" s="1" t="s">
        <v>43</v>
      </c>
      <c r="B10" s="1" t="s">
        <v>52</v>
      </c>
      <c r="C10" s="1">
        <v>2</v>
      </c>
      <c r="D10" s="1">
        <v>2</v>
      </c>
      <c r="E10" s="1">
        <v>2</v>
      </c>
      <c r="F10" s="1">
        <v>4</v>
      </c>
      <c r="G10" s="1">
        <v>2</v>
      </c>
      <c r="H10" s="1">
        <f t="shared" si="0"/>
        <v>12</v>
      </c>
    </row>
    <row r="11" spans="1:9" x14ac:dyDescent="0.45">
      <c r="A11" s="1" t="s">
        <v>43</v>
      </c>
      <c r="B11" s="1" t="s">
        <v>53</v>
      </c>
      <c r="C11" s="1">
        <v>3</v>
      </c>
      <c r="D11" s="1">
        <v>3</v>
      </c>
      <c r="E11" s="1">
        <v>4</v>
      </c>
      <c r="F11" s="1">
        <v>3</v>
      </c>
      <c r="G11" s="1">
        <v>3</v>
      </c>
      <c r="H11" s="1">
        <f t="shared" si="0"/>
        <v>16</v>
      </c>
    </row>
    <row r="12" spans="1:9" x14ac:dyDescent="0.45">
      <c r="A12" s="1" t="s">
        <v>43</v>
      </c>
      <c r="B12" s="1" t="s">
        <v>54</v>
      </c>
      <c r="C12" s="1">
        <v>2</v>
      </c>
      <c r="D12" s="1">
        <v>4</v>
      </c>
      <c r="E12" s="1">
        <v>4</v>
      </c>
      <c r="F12" s="1">
        <v>4</v>
      </c>
      <c r="G12" s="1">
        <v>4</v>
      </c>
      <c r="H12" s="1">
        <f t="shared" si="0"/>
        <v>18</v>
      </c>
    </row>
    <row r="13" spans="1:9" x14ac:dyDescent="0.45">
      <c r="A13" s="1" t="s">
        <v>43</v>
      </c>
      <c r="B13" s="1" t="s">
        <v>55</v>
      </c>
      <c r="C13" s="1">
        <v>0</v>
      </c>
      <c r="D13" s="1">
        <v>2</v>
      </c>
      <c r="E13" s="1">
        <v>4</v>
      </c>
      <c r="F13" s="1">
        <v>4</v>
      </c>
      <c r="G13" s="1">
        <v>2</v>
      </c>
      <c r="H13" s="1">
        <f t="shared" si="0"/>
        <v>12</v>
      </c>
    </row>
    <row r="14" spans="1:9" x14ac:dyDescent="0.45">
      <c r="A14" s="1" t="s">
        <v>43</v>
      </c>
      <c r="B14" s="1" t="s">
        <v>56</v>
      </c>
      <c r="C14" s="1">
        <v>2</v>
      </c>
      <c r="D14" s="1">
        <v>4</v>
      </c>
      <c r="E14" s="1">
        <v>4</v>
      </c>
      <c r="F14" s="1">
        <v>4</v>
      </c>
      <c r="G14" s="1">
        <v>2</v>
      </c>
      <c r="H14" s="1">
        <f t="shared" si="0"/>
        <v>16</v>
      </c>
    </row>
    <row r="15" spans="1:9" x14ac:dyDescent="0.45">
      <c r="A15" s="1" t="s">
        <v>43</v>
      </c>
      <c r="B15" s="1" t="s">
        <v>57</v>
      </c>
      <c r="C15" s="1">
        <v>2</v>
      </c>
      <c r="D15" s="1">
        <v>4</v>
      </c>
      <c r="E15" s="1">
        <v>4</v>
      </c>
      <c r="F15" s="1">
        <v>2</v>
      </c>
      <c r="G15" s="1">
        <v>2</v>
      </c>
      <c r="H15" s="1">
        <f t="shared" si="0"/>
        <v>14</v>
      </c>
    </row>
    <row r="16" spans="1:9" x14ac:dyDescent="0.45">
      <c r="A16" s="1" t="s">
        <v>43</v>
      </c>
      <c r="B16" s="1" t="s">
        <v>58</v>
      </c>
      <c r="C16" s="1">
        <v>2</v>
      </c>
      <c r="D16" s="1">
        <v>4</v>
      </c>
      <c r="E16" s="1">
        <v>4</v>
      </c>
      <c r="F16" s="1">
        <v>4</v>
      </c>
      <c r="G16" s="1">
        <v>2</v>
      </c>
      <c r="H16" s="1">
        <f t="shared" si="0"/>
        <v>16</v>
      </c>
    </row>
    <row r="17" spans="1:8" x14ac:dyDescent="0.45">
      <c r="A17" s="1" t="s">
        <v>43</v>
      </c>
      <c r="B17" s="1" t="s">
        <v>59</v>
      </c>
      <c r="C17" s="1">
        <v>3</v>
      </c>
      <c r="D17" s="1">
        <v>4</v>
      </c>
      <c r="E17" s="1">
        <v>4</v>
      </c>
      <c r="F17" s="1">
        <v>3</v>
      </c>
      <c r="G17" s="1">
        <v>3</v>
      </c>
      <c r="H17" s="1">
        <f t="shared" si="0"/>
        <v>17</v>
      </c>
    </row>
    <row r="18" spans="1:8" x14ac:dyDescent="0.45">
      <c r="A18" s="1" t="s">
        <v>43</v>
      </c>
      <c r="B18" s="1" t="s">
        <v>60</v>
      </c>
      <c r="C18" s="1">
        <v>3</v>
      </c>
      <c r="D18" s="1">
        <v>4</v>
      </c>
      <c r="E18" s="1">
        <v>4</v>
      </c>
      <c r="F18" s="1">
        <v>4</v>
      </c>
      <c r="G18" s="1">
        <v>3</v>
      </c>
      <c r="H18" s="1">
        <f t="shared" si="0"/>
        <v>18</v>
      </c>
    </row>
    <row r="19" spans="1:8" x14ac:dyDescent="0.45">
      <c r="A19" s="1" t="s">
        <v>43</v>
      </c>
      <c r="B19" s="1" t="s">
        <v>61</v>
      </c>
      <c r="C19" s="1">
        <v>2</v>
      </c>
      <c r="D19" s="1">
        <v>3</v>
      </c>
      <c r="E19" s="1">
        <v>2</v>
      </c>
      <c r="F19" s="1">
        <v>4</v>
      </c>
      <c r="G19" s="1">
        <v>3</v>
      </c>
      <c r="H19" s="1">
        <f t="shared" si="0"/>
        <v>14</v>
      </c>
    </row>
    <row r="20" spans="1:8" x14ac:dyDescent="0.45">
      <c r="A20" s="1" t="s">
        <v>43</v>
      </c>
      <c r="B20" s="1" t="s">
        <v>62</v>
      </c>
      <c r="C20" s="1">
        <v>3</v>
      </c>
      <c r="D20" s="1">
        <v>4</v>
      </c>
      <c r="E20" s="1">
        <v>4</v>
      </c>
      <c r="F20" s="1">
        <v>4</v>
      </c>
      <c r="G20" s="1">
        <v>3</v>
      </c>
      <c r="H20" s="1">
        <f t="shared" si="0"/>
        <v>18</v>
      </c>
    </row>
    <row r="21" spans="1:8" x14ac:dyDescent="0.45">
      <c r="A21" s="1" t="s">
        <v>43</v>
      </c>
      <c r="B21" s="1" t="s">
        <v>63</v>
      </c>
      <c r="C21" s="1">
        <v>2</v>
      </c>
      <c r="D21" s="1">
        <v>3</v>
      </c>
      <c r="E21" s="1">
        <v>4</v>
      </c>
      <c r="F21" s="1">
        <v>3</v>
      </c>
      <c r="G21" s="1">
        <v>3</v>
      </c>
      <c r="H21" s="1">
        <f t="shared" si="0"/>
        <v>15</v>
      </c>
    </row>
  </sheetData>
  <sortState xmlns:xlrd2="http://schemas.microsoft.com/office/spreadsheetml/2017/richdata2" ref="N2:N21">
    <sortCondition descending="1" ref="N2:N21"/>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8B39-1FDA-4EEA-82A7-942DA4693D66}">
  <dimension ref="A1:H29"/>
  <sheetViews>
    <sheetView topLeftCell="A7" workbookViewId="0">
      <selection activeCell="H2" sqref="H2:H29"/>
    </sheetView>
  </sheetViews>
  <sheetFormatPr defaultRowHeight="17.5" x14ac:dyDescent="0.45"/>
  <cols>
    <col min="2" max="2" width="10.84375" bestFit="1" customWidth="1"/>
  </cols>
  <sheetData>
    <row r="1" spans="1:8" x14ac:dyDescent="0.45">
      <c r="B1" t="s">
        <v>1</v>
      </c>
      <c r="C1">
        <v>26</v>
      </c>
      <c r="D1">
        <v>27</v>
      </c>
      <c r="E1">
        <v>28</v>
      </c>
      <c r="F1">
        <v>29</v>
      </c>
      <c r="G1">
        <v>30</v>
      </c>
    </row>
    <row r="2" spans="1:8" x14ac:dyDescent="0.45">
      <c r="A2" t="s">
        <v>165</v>
      </c>
      <c r="B2" t="s">
        <v>73</v>
      </c>
      <c r="C2">
        <v>2</v>
      </c>
      <c r="D2">
        <v>4</v>
      </c>
      <c r="E2">
        <v>4</v>
      </c>
      <c r="F2">
        <v>2</v>
      </c>
      <c r="G2">
        <v>2</v>
      </c>
      <c r="H2">
        <f>SUM(C2:G2)</f>
        <v>14</v>
      </c>
    </row>
    <row r="3" spans="1:8" x14ac:dyDescent="0.45">
      <c r="A3" t="s">
        <v>165</v>
      </c>
      <c r="B3" t="s">
        <v>74</v>
      </c>
      <c r="C3">
        <v>4</v>
      </c>
      <c r="D3">
        <v>4</v>
      </c>
      <c r="E3">
        <v>4</v>
      </c>
      <c r="F3">
        <v>4</v>
      </c>
      <c r="G3">
        <v>4</v>
      </c>
      <c r="H3">
        <f t="shared" ref="H3:H29" si="0">SUM(C3:G3)</f>
        <v>20</v>
      </c>
    </row>
    <row r="4" spans="1:8" x14ac:dyDescent="0.45">
      <c r="A4" t="s">
        <v>165</v>
      </c>
      <c r="B4" t="s">
        <v>75</v>
      </c>
      <c r="C4">
        <v>4</v>
      </c>
      <c r="D4">
        <v>2</v>
      </c>
      <c r="E4">
        <v>4</v>
      </c>
      <c r="F4">
        <v>4</v>
      </c>
      <c r="G4">
        <v>2</v>
      </c>
      <c r="H4">
        <f t="shared" si="0"/>
        <v>16</v>
      </c>
    </row>
    <row r="5" spans="1:8" x14ac:dyDescent="0.45">
      <c r="A5" t="s">
        <v>165</v>
      </c>
      <c r="B5" t="s">
        <v>76</v>
      </c>
      <c r="C5">
        <v>4</v>
      </c>
      <c r="D5">
        <v>2</v>
      </c>
      <c r="E5">
        <v>4</v>
      </c>
      <c r="F5">
        <v>4</v>
      </c>
      <c r="G5">
        <v>4</v>
      </c>
      <c r="H5">
        <f t="shared" si="0"/>
        <v>18</v>
      </c>
    </row>
    <row r="6" spans="1:8" x14ac:dyDescent="0.45">
      <c r="A6" t="s">
        <v>165</v>
      </c>
      <c r="B6" t="s">
        <v>77</v>
      </c>
      <c r="C6">
        <v>4</v>
      </c>
      <c r="D6">
        <v>4</v>
      </c>
      <c r="E6">
        <v>4</v>
      </c>
      <c r="F6">
        <v>4</v>
      </c>
      <c r="G6">
        <v>0</v>
      </c>
      <c r="H6">
        <f t="shared" si="0"/>
        <v>16</v>
      </c>
    </row>
    <row r="7" spans="1:8" x14ac:dyDescent="0.45">
      <c r="A7" t="s">
        <v>165</v>
      </c>
      <c r="B7" t="s">
        <v>78</v>
      </c>
      <c r="C7">
        <v>4</v>
      </c>
      <c r="D7">
        <v>4</v>
      </c>
      <c r="E7">
        <v>4</v>
      </c>
      <c r="F7">
        <v>2</v>
      </c>
      <c r="G7">
        <v>4</v>
      </c>
      <c r="H7">
        <f t="shared" si="0"/>
        <v>18</v>
      </c>
    </row>
    <row r="8" spans="1:8" x14ac:dyDescent="0.45">
      <c r="A8" t="s">
        <v>165</v>
      </c>
      <c r="B8" t="s">
        <v>79</v>
      </c>
      <c r="C8">
        <v>4</v>
      </c>
      <c r="D8">
        <v>4</v>
      </c>
      <c r="E8">
        <v>4</v>
      </c>
      <c r="F8">
        <v>4</v>
      </c>
      <c r="G8">
        <v>4</v>
      </c>
      <c r="H8">
        <f t="shared" si="0"/>
        <v>20</v>
      </c>
    </row>
    <row r="9" spans="1:8" x14ac:dyDescent="0.45">
      <c r="A9" t="s">
        <v>165</v>
      </c>
      <c r="B9" t="s">
        <v>80</v>
      </c>
      <c r="C9">
        <v>4</v>
      </c>
      <c r="D9">
        <v>4</v>
      </c>
      <c r="E9">
        <v>4</v>
      </c>
      <c r="F9">
        <v>4</v>
      </c>
      <c r="G9">
        <v>3</v>
      </c>
      <c r="H9">
        <f t="shared" si="0"/>
        <v>19</v>
      </c>
    </row>
    <row r="10" spans="1:8" x14ac:dyDescent="0.45">
      <c r="A10" t="s">
        <v>165</v>
      </c>
      <c r="B10" t="s">
        <v>81</v>
      </c>
      <c r="C10">
        <v>4</v>
      </c>
      <c r="D10">
        <v>4</v>
      </c>
      <c r="E10">
        <v>4</v>
      </c>
      <c r="F10">
        <v>4</v>
      </c>
      <c r="G10">
        <v>3</v>
      </c>
      <c r="H10">
        <f t="shared" si="0"/>
        <v>19</v>
      </c>
    </row>
    <row r="11" spans="1:8" x14ac:dyDescent="0.45">
      <c r="A11" t="s">
        <v>165</v>
      </c>
      <c r="B11" t="s">
        <v>82</v>
      </c>
      <c r="C11">
        <v>4</v>
      </c>
      <c r="D11">
        <v>4</v>
      </c>
      <c r="E11">
        <v>4</v>
      </c>
      <c r="F11">
        <v>4</v>
      </c>
      <c r="G11">
        <v>4</v>
      </c>
      <c r="H11">
        <f t="shared" si="0"/>
        <v>20</v>
      </c>
    </row>
    <row r="12" spans="1:8" x14ac:dyDescent="0.45">
      <c r="A12" t="s">
        <v>165</v>
      </c>
      <c r="B12" t="s">
        <v>83</v>
      </c>
      <c r="C12">
        <v>3</v>
      </c>
      <c r="D12">
        <v>3</v>
      </c>
      <c r="E12">
        <v>4</v>
      </c>
      <c r="F12">
        <v>4</v>
      </c>
      <c r="G12">
        <v>4</v>
      </c>
      <c r="H12">
        <f t="shared" si="0"/>
        <v>18</v>
      </c>
    </row>
    <row r="13" spans="1:8" x14ac:dyDescent="0.45">
      <c r="A13" t="s">
        <v>165</v>
      </c>
      <c r="B13" t="s">
        <v>84</v>
      </c>
      <c r="C13">
        <v>4</v>
      </c>
      <c r="D13">
        <v>4</v>
      </c>
      <c r="E13">
        <v>4</v>
      </c>
      <c r="F13">
        <v>3</v>
      </c>
      <c r="G13">
        <v>4</v>
      </c>
      <c r="H13">
        <f t="shared" si="0"/>
        <v>19</v>
      </c>
    </row>
    <row r="14" spans="1:8" x14ac:dyDescent="0.45">
      <c r="A14" t="s">
        <v>165</v>
      </c>
      <c r="B14" t="s">
        <v>85</v>
      </c>
      <c r="C14">
        <v>4</v>
      </c>
      <c r="D14">
        <v>3</v>
      </c>
      <c r="E14">
        <v>4</v>
      </c>
      <c r="F14">
        <v>4</v>
      </c>
      <c r="G14">
        <v>4</v>
      </c>
      <c r="H14">
        <f t="shared" si="0"/>
        <v>19</v>
      </c>
    </row>
    <row r="15" spans="1:8" x14ac:dyDescent="0.45">
      <c r="A15" t="s">
        <v>165</v>
      </c>
      <c r="B15" t="s">
        <v>86</v>
      </c>
      <c r="C15">
        <v>4</v>
      </c>
      <c r="D15">
        <v>4</v>
      </c>
      <c r="E15">
        <v>4</v>
      </c>
      <c r="F15">
        <v>3</v>
      </c>
      <c r="G15">
        <v>3</v>
      </c>
      <c r="H15">
        <f t="shared" si="0"/>
        <v>18</v>
      </c>
    </row>
    <row r="16" spans="1:8" x14ac:dyDescent="0.45">
      <c r="A16" t="s">
        <v>165</v>
      </c>
      <c r="B16" t="s">
        <v>87</v>
      </c>
      <c r="C16">
        <v>2</v>
      </c>
      <c r="D16">
        <v>3</v>
      </c>
      <c r="E16">
        <v>4</v>
      </c>
      <c r="F16">
        <v>4</v>
      </c>
      <c r="G16">
        <v>3</v>
      </c>
      <c r="H16">
        <f t="shared" si="0"/>
        <v>16</v>
      </c>
    </row>
    <row r="17" spans="1:8" x14ac:dyDescent="0.45">
      <c r="A17" t="s">
        <v>165</v>
      </c>
      <c r="B17" t="s">
        <v>88</v>
      </c>
      <c r="C17">
        <v>3</v>
      </c>
      <c r="D17">
        <v>3</v>
      </c>
      <c r="E17">
        <v>4</v>
      </c>
      <c r="F17">
        <v>2</v>
      </c>
      <c r="G17">
        <v>3</v>
      </c>
      <c r="H17">
        <f t="shared" si="0"/>
        <v>15</v>
      </c>
    </row>
    <row r="18" spans="1:8" x14ac:dyDescent="0.45">
      <c r="A18" t="s">
        <v>165</v>
      </c>
      <c r="B18" t="s">
        <v>89</v>
      </c>
      <c r="C18">
        <v>4</v>
      </c>
      <c r="D18">
        <v>4</v>
      </c>
      <c r="E18">
        <v>4</v>
      </c>
      <c r="F18">
        <v>3</v>
      </c>
      <c r="G18">
        <v>4</v>
      </c>
      <c r="H18">
        <f t="shared" si="0"/>
        <v>19</v>
      </c>
    </row>
    <row r="19" spans="1:8" x14ac:dyDescent="0.45">
      <c r="A19" t="s">
        <v>165</v>
      </c>
      <c r="B19" t="s">
        <v>90</v>
      </c>
      <c r="C19">
        <v>3</v>
      </c>
      <c r="D19">
        <v>4</v>
      </c>
      <c r="E19">
        <v>4</v>
      </c>
      <c r="F19">
        <v>3</v>
      </c>
      <c r="G19">
        <v>4</v>
      </c>
      <c r="H19">
        <f t="shared" si="0"/>
        <v>18</v>
      </c>
    </row>
    <row r="20" spans="1:8" x14ac:dyDescent="0.45">
      <c r="A20" t="s">
        <v>165</v>
      </c>
      <c r="B20" t="s">
        <v>91</v>
      </c>
      <c r="C20">
        <v>4</v>
      </c>
      <c r="D20">
        <v>4</v>
      </c>
      <c r="E20">
        <v>4</v>
      </c>
      <c r="F20">
        <v>4</v>
      </c>
      <c r="G20">
        <v>4</v>
      </c>
      <c r="H20">
        <f t="shared" si="0"/>
        <v>20</v>
      </c>
    </row>
    <row r="21" spans="1:8" x14ac:dyDescent="0.45">
      <c r="A21" t="s">
        <v>165</v>
      </c>
      <c r="B21" t="s">
        <v>92</v>
      </c>
      <c r="C21">
        <v>3</v>
      </c>
      <c r="D21">
        <v>4</v>
      </c>
      <c r="E21">
        <v>3</v>
      </c>
      <c r="F21">
        <v>4</v>
      </c>
      <c r="G21">
        <v>3</v>
      </c>
      <c r="H21">
        <f t="shared" si="0"/>
        <v>17</v>
      </c>
    </row>
    <row r="22" spans="1:8" x14ac:dyDescent="0.45">
      <c r="A22" t="s">
        <v>165</v>
      </c>
      <c r="B22" t="s">
        <v>93</v>
      </c>
      <c r="C22">
        <v>4</v>
      </c>
      <c r="D22">
        <v>4</v>
      </c>
      <c r="E22">
        <v>4</v>
      </c>
      <c r="F22">
        <v>4</v>
      </c>
      <c r="G22">
        <v>3</v>
      </c>
      <c r="H22">
        <f t="shared" si="0"/>
        <v>19</v>
      </c>
    </row>
    <row r="23" spans="1:8" x14ac:dyDescent="0.45">
      <c r="A23" t="s">
        <v>165</v>
      </c>
      <c r="B23" t="s">
        <v>94</v>
      </c>
      <c r="C23">
        <v>4</v>
      </c>
      <c r="D23">
        <v>4</v>
      </c>
      <c r="E23">
        <v>4</v>
      </c>
      <c r="F23">
        <v>4</v>
      </c>
      <c r="G23">
        <v>3</v>
      </c>
      <c r="H23">
        <f t="shared" si="0"/>
        <v>19</v>
      </c>
    </row>
    <row r="24" spans="1:8" x14ac:dyDescent="0.45">
      <c r="A24" t="s">
        <v>165</v>
      </c>
      <c r="B24" t="s">
        <v>95</v>
      </c>
      <c r="C24">
        <v>3</v>
      </c>
      <c r="D24">
        <v>3</v>
      </c>
      <c r="E24">
        <v>4</v>
      </c>
      <c r="F24">
        <v>4</v>
      </c>
      <c r="G24">
        <v>3</v>
      </c>
      <c r="H24">
        <f t="shared" si="0"/>
        <v>17</v>
      </c>
    </row>
    <row r="25" spans="1:8" x14ac:dyDescent="0.45">
      <c r="A25" t="s">
        <v>165</v>
      </c>
      <c r="B25" t="s">
        <v>96</v>
      </c>
      <c r="C25">
        <v>4</v>
      </c>
      <c r="D25">
        <v>4</v>
      </c>
      <c r="E25">
        <v>4</v>
      </c>
      <c r="F25">
        <v>4</v>
      </c>
      <c r="G25">
        <v>3</v>
      </c>
      <c r="H25">
        <f t="shared" si="0"/>
        <v>19</v>
      </c>
    </row>
    <row r="26" spans="1:8" x14ac:dyDescent="0.45">
      <c r="A26" t="s">
        <v>165</v>
      </c>
      <c r="B26" t="s">
        <v>97</v>
      </c>
      <c r="C26">
        <v>4</v>
      </c>
      <c r="D26">
        <v>4</v>
      </c>
      <c r="E26">
        <v>4</v>
      </c>
      <c r="F26">
        <v>4</v>
      </c>
      <c r="G26">
        <v>4</v>
      </c>
      <c r="H26">
        <f t="shared" si="0"/>
        <v>20</v>
      </c>
    </row>
    <row r="27" spans="1:8" x14ac:dyDescent="0.45">
      <c r="A27" t="s">
        <v>165</v>
      </c>
      <c r="B27" t="s">
        <v>98</v>
      </c>
      <c r="C27">
        <v>4</v>
      </c>
      <c r="D27">
        <v>4</v>
      </c>
      <c r="E27">
        <v>3</v>
      </c>
      <c r="F27">
        <v>2</v>
      </c>
      <c r="G27">
        <v>3</v>
      </c>
      <c r="H27">
        <f t="shared" si="0"/>
        <v>16</v>
      </c>
    </row>
    <row r="28" spans="1:8" x14ac:dyDescent="0.45">
      <c r="A28" t="s">
        <v>165</v>
      </c>
      <c r="B28" t="s">
        <v>99</v>
      </c>
      <c r="C28">
        <v>3</v>
      </c>
      <c r="D28">
        <v>3</v>
      </c>
      <c r="E28">
        <v>4</v>
      </c>
      <c r="F28">
        <v>4</v>
      </c>
      <c r="G28">
        <v>4</v>
      </c>
      <c r="H28">
        <f t="shared" si="0"/>
        <v>18</v>
      </c>
    </row>
    <row r="29" spans="1:8" x14ac:dyDescent="0.45">
      <c r="A29" t="s">
        <v>165</v>
      </c>
      <c r="B29" t="s">
        <v>118</v>
      </c>
      <c r="C29">
        <v>2</v>
      </c>
      <c r="D29">
        <v>4</v>
      </c>
      <c r="E29">
        <v>4</v>
      </c>
      <c r="F29">
        <v>4</v>
      </c>
      <c r="G29">
        <v>3</v>
      </c>
      <c r="H29">
        <f t="shared" si="0"/>
        <v>17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2207-30CE-4AE9-90D2-D6C2160E88EA}">
  <dimension ref="A1:I9"/>
  <sheetViews>
    <sheetView workbookViewId="0">
      <selection activeCell="H2" sqref="H2:H9"/>
    </sheetView>
  </sheetViews>
  <sheetFormatPr defaultRowHeight="17.5" x14ac:dyDescent="0.45"/>
  <cols>
    <col min="2" max="2" width="10.84375" bestFit="1" customWidth="1"/>
  </cols>
  <sheetData>
    <row r="1" spans="1:9" x14ac:dyDescent="0.45">
      <c r="A1" t="s">
        <v>0</v>
      </c>
      <c r="B1" t="s">
        <v>1</v>
      </c>
      <c r="C1">
        <v>26</v>
      </c>
      <c r="D1">
        <v>27</v>
      </c>
      <c r="E1">
        <v>28</v>
      </c>
      <c r="F1">
        <v>29</v>
      </c>
      <c r="G1">
        <v>30</v>
      </c>
      <c r="I1" t="s">
        <v>100</v>
      </c>
    </row>
    <row r="2" spans="1:9" x14ac:dyDescent="0.45">
      <c r="A2" t="s">
        <v>64</v>
      </c>
      <c r="B2" t="s">
        <v>65</v>
      </c>
      <c r="C2">
        <v>3</v>
      </c>
      <c r="D2">
        <v>4</v>
      </c>
      <c r="E2">
        <v>4</v>
      </c>
      <c r="F2">
        <v>4</v>
      </c>
      <c r="G2">
        <v>4</v>
      </c>
      <c r="H2">
        <f>SUM(C2:G2)</f>
        <v>19</v>
      </c>
    </row>
    <row r="3" spans="1:9" x14ac:dyDescent="0.45">
      <c r="A3" t="s">
        <v>64</v>
      </c>
      <c r="B3" t="s">
        <v>66</v>
      </c>
      <c r="C3">
        <v>3</v>
      </c>
      <c r="D3">
        <v>4</v>
      </c>
      <c r="E3">
        <v>4</v>
      </c>
      <c r="F3">
        <v>4</v>
      </c>
      <c r="G3">
        <v>2</v>
      </c>
      <c r="H3">
        <f t="shared" ref="H3:H9" si="0">SUM(C3:G3)</f>
        <v>17</v>
      </c>
    </row>
    <row r="4" spans="1:9" x14ac:dyDescent="0.45">
      <c r="A4" t="s">
        <v>64</v>
      </c>
      <c r="B4" t="s">
        <v>67</v>
      </c>
      <c r="C4">
        <v>3</v>
      </c>
      <c r="D4">
        <v>4</v>
      </c>
      <c r="E4">
        <v>4</v>
      </c>
      <c r="F4">
        <v>4</v>
      </c>
      <c r="G4">
        <v>4</v>
      </c>
      <c r="H4">
        <f t="shared" si="0"/>
        <v>19</v>
      </c>
    </row>
    <row r="5" spans="1:9" x14ac:dyDescent="0.45">
      <c r="A5" t="s">
        <v>64</v>
      </c>
      <c r="B5" t="s">
        <v>68</v>
      </c>
      <c r="C5">
        <v>3</v>
      </c>
      <c r="D5">
        <v>4</v>
      </c>
      <c r="E5">
        <v>3</v>
      </c>
      <c r="F5">
        <v>3</v>
      </c>
      <c r="G5">
        <v>4</v>
      </c>
      <c r="H5">
        <f t="shared" si="0"/>
        <v>17</v>
      </c>
    </row>
    <row r="6" spans="1:9" x14ac:dyDescent="0.45">
      <c r="A6" t="s">
        <v>64</v>
      </c>
      <c r="B6" t="s">
        <v>69</v>
      </c>
      <c r="C6">
        <v>3</v>
      </c>
      <c r="D6">
        <v>4</v>
      </c>
      <c r="E6">
        <v>4</v>
      </c>
      <c r="F6">
        <v>4</v>
      </c>
      <c r="G6">
        <v>4</v>
      </c>
      <c r="H6">
        <f t="shared" si="0"/>
        <v>19</v>
      </c>
    </row>
    <row r="7" spans="1:9" x14ac:dyDescent="0.45">
      <c r="A7" t="s">
        <v>64</v>
      </c>
      <c r="B7" t="s">
        <v>70</v>
      </c>
      <c r="C7">
        <v>3</v>
      </c>
      <c r="D7">
        <v>4</v>
      </c>
      <c r="E7">
        <v>4</v>
      </c>
      <c r="F7">
        <v>4</v>
      </c>
      <c r="G7">
        <v>2</v>
      </c>
      <c r="H7">
        <f t="shared" si="0"/>
        <v>17</v>
      </c>
    </row>
    <row r="8" spans="1:9" x14ac:dyDescent="0.45">
      <c r="A8" t="s">
        <v>64</v>
      </c>
      <c r="B8" t="s">
        <v>71</v>
      </c>
      <c r="C8">
        <v>4</v>
      </c>
      <c r="D8">
        <v>4</v>
      </c>
      <c r="E8">
        <v>4</v>
      </c>
      <c r="F8">
        <v>4</v>
      </c>
      <c r="G8">
        <v>4</v>
      </c>
      <c r="H8">
        <f t="shared" si="0"/>
        <v>20</v>
      </c>
    </row>
    <row r="9" spans="1:9" x14ac:dyDescent="0.45">
      <c r="A9" t="s">
        <v>64</v>
      </c>
      <c r="B9" t="s">
        <v>72</v>
      </c>
      <c r="C9">
        <v>3</v>
      </c>
      <c r="D9">
        <v>4</v>
      </c>
      <c r="E9">
        <v>4</v>
      </c>
      <c r="F9">
        <v>4</v>
      </c>
      <c r="G9">
        <v>4</v>
      </c>
      <c r="H9">
        <f t="shared" si="0"/>
        <v>19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6208-1AAC-473D-A1E9-C6FF07F45A3E}">
  <dimension ref="A1:X43"/>
  <sheetViews>
    <sheetView workbookViewId="0">
      <selection sqref="A1:XFD1048576"/>
    </sheetView>
  </sheetViews>
  <sheetFormatPr defaultRowHeight="17.5" x14ac:dyDescent="0.45"/>
  <cols>
    <col min="1" max="1" width="4.15234375" bestFit="1" customWidth="1"/>
    <col min="2" max="2" width="10.53515625" bestFit="1" customWidth="1"/>
    <col min="3" max="24" width="5.15234375" bestFit="1" customWidth="1"/>
  </cols>
  <sheetData>
    <row r="1" spans="1:24" x14ac:dyDescent="0.45">
      <c r="A1" s="4"/>
      <c r="B1" s="4"/>
      <c r="C1" s="5">
        <v>1</v>
      </c>
      <c r="D1" s="4">
        <v>2</v>
      </c>
      <c r="E1" s="4">
        <v>3</v>
      </c>
      <c r="F1" s="4">
        <v>4</v>
      </c>
      <c r="G1" s="4">
        <v>5</v>
      </c>
      <c r="H1" s="4">
        <v>6</v>
      </c>
      <c r="I1" s="4">
        <v>7</v>
      </c>
      <c r="J1" s="4">
        <v>8</v>
      </c>
      <c r="K1" s="4">
        <v>9</v>
      </c>
      <c r="L1" s="4">
        <v>10</v>
      </c>
      <c r="M1" s="4">
        <v>11</v>
      </c>
      <c r="N1" s="4">
        <v>12</v>
      </c>
      <c r="O1" s="4">
        <v>13</v>
      </c>
      <c r="P1" s="4">
        <v>14</v>
      </c>
      <c r="Q1" s="4">
        <v>15</v>
      </c>
      <c r="R1" s="4">
        <v>16</v>
      </c>
      <c r="S1" s="4">
        <v>17</v>
      </c>
      <c r="T1" s="4">
        <v>18</v>
      </c>
      <c r="U1" s="4">
        <v>19</v>
      </c>
      <c r="V1" s="4">
        <v>20</v>
      </c>
      <c r="W1" s="4">
        <v>21</v>
      </c>
      <c r="X1" s="4">
        <v>22</v>
      </c>
    </row>
    <row r="2" spans="1:24" x14ac:dyDescent="0.45">
      <c r="A2" s="4" t="s">
        <v>122</v>
      </c>
      <c r="B2" s="3" t="s">
        <v>36</v>
      </c>
      <c r="C2" s="3">
        <v>62</v>
      </c>
      <c r="D2" s="3">
        <v>62</v>
      </c>
      <c r="E2" s="3">
        <v>57</v>
      </c>
      <c r="F2" s="3">
        <v>57</v>
      </c>
      <c r="G2" s="3">
        <v>57</v>
      </c>
      <c r="H2" s="3">
        <v>57</v>
      </c>
      <c r="I2" s="3">
        <v>83</v>
      </c>
      <c r="J2" s="3">
        <v>83</v>
      </c>
      <c r="K2" s="3">
        <v>83</v>
      </c>
      <c r="L2" s="3">
        <v>83</v>
      </c>
      <c r="M2" s="4">
        <v>66</v>
      </c>
      <c r="N2" s="4">
        <v>66</v>
      </c>
      <c r="O2" s="4">
        <v>66</v>
      </c>
      <c r="P2" s="4">
        <v>66</v>
      </c>
      <c r="Q2" s="4">
        <v>78</v>
      </c>
      <c r="R2" s="4">
        <v>78</v>
      </c>
      <c r="S2" s="4">
        <v>78</v>
      </c>
      <c r="T2" s="4">
        <v>78</v>
      </c>
      <c r="U2" s="4">
        <v>75</v>
      </c>
      <c r="V2" s="4">
        <v>75</v>
      </c>
      <c r="W2" s="4">
        <v>75</v>
      </c>
      <c r="X2" s="4">
        <v>75</v>
      </c>
    </row>
    <row r="3" spans="1:24" x14ac:dyDescent="0.45">
      <c r="A3" s="4" t="s">
        <v>122</v>
      </c>
      <c r="B3" s="2" t="s">
        <v>31</v>
      </c>
      <c r="C3" s="2">
        <v>73</v>
      </c>
      <c r="D3" s="2">
        <v>73</v>
      </c>
      <c r="E3" s="2">
        <v>68</v>
      </c>
      <c r="F3" s="2">
        <v>68</v>
      </c>
      <c r="G3" s="2">
        <v>68</v>
      </c>
      <c r="H3" s="2">
        <v>68</v>
      </c>
      <c r="I3" s="2">
        <v>90</v>
      </c>
      <c r="J3" s="2">
        <v>90</v>
      </c>
      <c r="K3" s="2">
        <v>90</v>
      </c>
      <c r="L3" s="2">
        <v>90</v>
      </c>
      <c r="M3" s="4">
        <v>74</v>
      </c>
      <c r="N3" s="4">
        <v>74</v>
      </c>
      <c r="O3" s="4">
        <v>74</v>
      </c>
      <c r="P3" s="4">
        <v>74</v>
      </c>
      <c r="Q3" s="4">
        <v>86</v>
      </c>
      <c r="R3" s="4">
        <v>86</v>
      </c>
      <c r="S3" s="4">
        <v>86</v>
      </c>
      <c r="T3" s="4">
        <v>86</v>
      </c>
      <c r="U3" s="4">
        <v>80</v>
      </c>
      <c r="V3" s="4">
        <v>80</v>
      </c>
      <c r="W3" s="4">
        <v>80</v>
      </c>
      <c r="X3" s="4">
        <v>80</v>
      </c>
    </row>
    <row r="4" spans="1:24" x14ac:dyDescent="0.45">
      <c r="A4" s="4" t="s">
        <v>122</v>
      </c>
      <c r="B4" s="3" t="s">
        <v>26</v>
      </c>
      <c r="C4" s="3">
        <v>63</v>
      </c>
      <c r="D4" s="3">
        <v>63</v>
      </c>
      <c r="E4" s="3">
        <v>67</v>
      </c>
      <c r="F4" s="3">
        <v>67</v>
      </c>
      <c r="G4" s="3">
        <v>67</v>
      </c>
      <c r="H4" s="3">
        <v>67</v>
      </c>
      <c r="I4" s="3" t="s">
        <v>123</v>
      </c>
      <c r="J4" s="3" t="s">
        <v>123</v>
      </c>
      <c r="K4" s="3" t="s">
        <v>123</v>
      </c>
      <c r="L4" s="3" t="s">
        <v>123</v>
      </c>
      <c r="M4" s="4" t="s">
        <v>123</v>
      </c>
      <c r="N4" s="4" t="s">
        <v>123</v>
      </c>
      <c r="O4" s="4" t="s">
        <v>123</v>
      </c>
      <c r="P4" s="4" t="s">
        <v>123</v>
      </c>
      <c r="Q4" s="4">
        <v>77</v>
      </c>
      <c r="R4" s="4">
        <v>77</v>
      </c>
      <c r="S4" s="4">
        <v>77</v>
      </c>
      <c r="T4" s="4">
        <v>77</v>
      </c>
      <c r="U4" s="4">
        <v>73</v>
      </c>
      <c r="V4" s="4">
        <v>73</v>
      </c>
      <c r="W4" s="4">
        <v>73</v>
      </c>
      <c r="X4" s="4">
        <v>73</v>
      </c>
    </row>
    <row r="5" spans="1:24" x14ac:dyDescent="0.45">
      <c r="A5" s="4" t="s">
        <v>122</v>
      </c>
      <c r="B5" s="2" t="s">
        <v>30</v>
      </c>
      <c r="C5" s="2">
        <v>80</v>
      </c>
      <c r="D5" s="2">
        <v>80</v>
      </c>
      <c r="E5" s="2">
        <v>81</v>
      </c>
      <c r="F5" s="2">
        <v>81</v>
      </c>
      <c r="G5" s="2">
        <v>81</v>
      </c>
      <c r="H5" s="2">
        <v>81</v>
      </c>
      <c r="I5" s="2">
        <v>98</v>
      </c>
      <c r="J5" s="2">
        <v>98</v>
      </c>
      <c r="K5" s="2">
        <v>98</v>
      </c>
      <c r="L5" s="2">
        <v>98</v>
      </c>
      <c r="M5" s="4">
        <v>90</v>
      </c>
      <c r="N5" s="4">
        <v>90</v>
      </c>
      <c r="O5" s="4">
        <v>90</v>
      </c>
      <c r="P5" s="4">
        <v>90</v>
      </c>
      <c r="Q5" s="4">
        <v>92</v>
      </c>
      <c r="R5" s="4">
        <v>92</v>
      </c>
      <c r="S5" s="4">
        <v>92</v>
      </c>
      <c r="T5" s="4">
        <v>92</v>
      </c>
      <c r="U5" s="4">
        <v>92</v>
      </c>
      <c r="V5" s="4">
        <v>92</v>
      </c>
      <c r="W5" s="4">
        <v>92</v>
      </c>
      <c r="X5" s="4">
        <v>92</v>
      </c>
    </row>
    <row r="6" spans="1:24" x14ac:dyDescent="0.45">
      <c r="A6" s="4" t="s">
        <v>122</v>
      </c>
      <c r="B6" s="3" t="s">
        <v>33</v>
      </c>
      <c r="C6" s="3">
        <v>82</v>
      </c>
      <c r="D6" s="3">
        <v>82</v>
      </c>
      <c r="E6" s="3">
        <v>81</v>
      </c>
      <c r="F6" s="3">
        <v>81</v>
      </c>
      <c r="G6" s="3">
        <v>81</v>
      </c>
      <c r="H6" s="3">
        <v>81</v>
      </c>
      <c r="I6" s="3">
        <v>82</v>
      </c>
      <c r="J6" s="3">
        <v>82</v>
      </c>
      <c r="K6" s="3">
        <v>82</v>
      </c>
      <c r="L6" s="3">
        <v>82</v>
      </c>
      <c r="M6" s="4">
        <v>86</v>
      </c>
      <c r="N6" s="4">
        <v>86</v>
      </c>
      <c r="O6" s="4">
        <v>86</v>
      </c>
      <c r="P6" s="4">
        <v>86</v>
      </c>
      <c r="Q6" s="4">
        <v>88</v>
      </c>
      <c r="R6" s="4">
        <v>88</v>
      </c>
      <c r="S6" s="4">
        <v>88</v>
      </c>
      <c r="T6" s="4">
        <v>88</v>
      </c>
      <c r="U6" s="4">
        <v>90</v>
      </c>
      <c r="V6" s="4">
        <v>90</v>
      </c>
      <c r="W6" s="4">
        <v>90</v>
      </c>
      <c r="X6" s="4">
        <v>90</v>
      </c>
    </row>
    <row r="7" spans="1:24" x14ac:dyDescent="0.45">
      <c r="A7" s="4" t="s">
        <v>122</v>
      </c>
      <c r="B7" s="2" t="s">
        <v>28</v>
      </c>
      <c r="C7" s="2">
        <v>67</v>
      </c>
      <c r="D7" s="2">
        <v>67</v>
      </c>
      <c r="E7" s="2">
        <v>77</v>
      </c>
      <c r="F7" s="2">
        <v>77</v>
      </c>
      <c r="G7" s="2">
        <v>77</v>
      </c>
      <c r="H7" s="2">
        <v>77</v>
      </c>
      <c r="I7" s="2">
        <v>96</v>
      </c>
      <c r="J7" s="2">
        <v>96</v>
      </c>
      <c r="K7" s="2">
        <v>96</v>
      </c>
      <c r="L7" s="2">
        <v>96</v>
      </c>
      <c r="M7" s="4">
        <v>94</v>
      </c>
      <c r="N7" s="4">
        <v>94</v>
      </c>
      <c r="O7" s="4">
        <v>94</v>
      </c>
      <c r="P7" s="4">
        <v>94</v>
      </c>
      <c r="Q7" s="4">
        <v>95</v>
      </c>
      <c r="R7" s="4">
        <v>95</v>
      </c>
      <c r="S7" s="4">
        <v>95</v>
      </c>
      <c r="T7" s="4">
        <v>95</v>
      </c>
      <c r="U7" s="4">
        <v>96</v>
      </c>
      <c r="V7" s="4">
        <v>96</v>
      </c>
      <c r="W7" s="4">
        <v>96</v>
      </c>
      <c r="X7" s="4">
        <v>96</v>
      </c>
    </row>
    <row r="8" spans="1:24" x14ac:dyDescent="0.45">
      <c r="A8" s="4" t="s">
        <v>122</v>
      </c>
      <c r="B8" s="3" t="s">
        <v>120</v>
      </c>
      <c r="C8" s="3">
        <v>72</v>
      </c>
      <c r="D8" s="3">
        <v>72</v>
      </c>
      <c r="E8" s="3">
        <v>73</v>
      </c>
      <c r="F8" s="3">
        <v>73</v>
      </c>
      <c r="G8" s="3">
        <v>73</v>
      </c>
      <c r="H8" s="3">
        <v>73</v>
      </c>
      <c r="I8" s="3">
        <v>91</v>
      </c>
      <c r="J8" s="3">
        <v>91</v>
      </c>
      <c r="K8" s="3">
        <v>91</v>
      </c>
      <c r="L8" s="3">
        <v>91</v>
      </c>
      <c r="M8" s="4">
        <v>76</v>
      </c>
      <c r="N8" s="4">
        <v>76</v>
      </c>
      <c r="O8" s="4">
        <v>76</v>
      </c>
      <c r="P8" s="4">
        <v>76</v>
      </c>
      <c r="Q8" s="4">
        <v>74</v>
      </c>
      <c r="R8" s="4">
        <v>74</v>
      </c>
      <c r="S8" s="4">
        <v>74</v>
      </c>
      <c r="T8" s="4">
        <v>74</v>
      </c>
      <c r="U8" s="4">
        <v>76</v>
      </c>
      <c r="V8" s="4">
        <v>76</v>
      </c>
      <c r="W8" s="4">
        <v>76</v>
      </c>
      <c r="X8" s="4">
        <v>76</v>
      </c>
    </row>
    <row r="9" spans="1:24" x14ac:dyDescent="0.45">
      <c r="A9" s="4" t="s">
        <v>122</v>
      </c>
      <c r="B9" s="2" t="s">
        <v>40</v>
      </c>
      <c r="C9" s="2">
        <v>77</v>
      </c>
      <c r="D9" s="2">
        <v>77</v>
      </c>
      <c r="E9" s="2">
        <v>85</v>
      </c>
      <c r="F9" s="2">
        <v>85</v>
      </c>
      <c r="G9" s="2">
        <v>85</v>
      </c>
      <c r="H9" s="2">
        <v>85</v>
      </c>
      <c r="I9" s="2">
        <v>94</v>
      </c>
      <c r="J9" s="2">
        <v>94</v>
      </c>
      <c r="K9" s="2">
        <v>94</v>
      </c>
      <c r="L9" s="2">
        <v>94</v>
      </c>
      <c r="M9" s="4">
        <v>84</v>
      </c>
      <c r="N9" s="4">
        <v>84</v>
      </c>
      <c r="O9" s="4">
        <v>84</v>
      </c>
      <c r="P9" s="4">
        <v>84</v>
      </c>
      <c r="Q9" s="4">
        <v>89</v>
      </c>
      <c r="R9" s="4">
        <v>89</v>
      </c>
      <c r="S9" s="4">
        <v>89</v>
      </c>
      <c r="T9" s="4">
        <v>89</v>
      </c>
      <c r="U9" s="4">
        <v>95</v>
      </c>
      <c r="V9" s="4">
        <v>95</v>
      </c>
      <c r="W9" s="4">
        <v>95</v>
      </c>
      <c r="X9" s="4">
        <v>95</v>
      </c>
    </row>
    <row r="10" spans="1:24" x14ac:dyDescent="0.45">
      <c r="A10" s="4" t="s">
        <v>122</v>
      </c>
      <c r="B10" s="3" t="s">
        <v>37</v>
      </c>
      <c r="C10" s="3">
        <v>93</v>
      </c>
      <c r="D10" s="3">
        <v>93</v>
      </c>
      <c r="E10" s="3">
        <v>97</v>
      </c>
      <c r="F10" s="3">
        <v>97</v>
      </c>
      <c r="G10" s="3">
        <v>97</v>
      </c>
      <c r="H10" s="3">
        <v>97</v>
      </c>
      <c r="I10" s="3">
        <v>95</v>
      </c>
      <c r="J10" s="3">
        <v>95</v>
      </c>
      <c r="K10" s="3">
        <v>95</v>
      </c>
      <c r="L10" s="3">
        <v>95</v>
      </c>
      <c r="M10" s="4">
        <v>98</v>
      </c>
      <c r="N10" s="4">
        <v>98</v>
      </c>
      <c r="O10" s="4">
        <v>98</v>
      </c>
      <c r="P10" s="4">
        <v>98</v>
      </c>
      <c r="Q10" s="4">
        <v>98</v>
      </c>
      <c r="R10" s="4">
        <v>98</v>
      </c>
      <c r="S10" s="4">
        <v>98</v>
      </c>
      <c r="T10" s="4">
        <v>98</v>
      </c>
      <c r="U10" s="4">
        <v>97</v>
      </c>
      <c r="V10" s="4">
        <v>97</v>
      </c>
      <c r="W10" s="4">
        <v>97</v>
      </c>
      <c r="X10" s="4">
        <v>97</v>
      </c>
    </row>
    <row r="11" spans="1:24" x14ac:dyDescent="0.45">
      <c r="A11" s="4" t="s">
        <v>122</v>
      </c>
      <c r="B11" s="2" t="s">
        <v>39</v>
      </c>
      <c r="C11" s="2">
        <v>72</v>
      </c>
      <c r="D11" s="2">
        <v>72</v>
      </c>
      <c r="E11" s="2">
        <v>78</v>
      </c>
      <c r="F11" s="2">
        <v>78</v>
      </c>
      <c r="G11" s="2">
        <v>78</v>
      </c>
      <c r="H11" s="2">
        <v>78</v>
      </c>
      <c r="I11" s="2">
        <v>95</v>
      </c>
      <c r="J11" s="2">
        <v>95</v>
      </c>
      <c r="K11" s="2">
        <v>95</v>
      </c>
      <c r="L11" s="2">
        <v>95</v>
      </c>
      <c r="M11" s="4">
        <v>88</v>
      </c>
      <c r="N11" s="4">
        <v>88</v>
      </c>
      <c r="O11" s="4">
        <v>88</v>
      </c>
      <c r="P11" s="4">
        <v>88</v>
      </c>
      <c r="Q11" s="4">
        <v>90</v>
      </c>
      <c r="R11" s="4">
        <v>90</v>
      </c>
      <c r="S11" s="4">
        <v>90</v>
      </c>
      <c r="T11" s="4">
        <v>90</v>
      </c>
      <c r="U11" s="4">
        <v>83</v>
      </c>
      <c r="V11" s="4">
        <v>83</v>
      </c>
      <c r="W11" s="4">
        <v>83</v>
      </c>
      <c r="X11" s="4">
        <v>83</v>
      </c>
    </row>
    <row r="12" spans="1:24" x14ac:dyDescent="0.45">
      <c r="A12" s="4" t="s">
        <v>122</v>
      </c>
      <c r="B12" s="3" t="s">
        <v>35</v>
      </c>
      <c r="C12" s="3">
        <v>82</v>
      </c>
      <c r="D12" s="3">
        <v>82</v>
      </c>
      <c r="E12" s="3">
        <v>76</v>
      </c>
      <c r="F12" s="3">
        <v>76</v>
      </c>
      <c r="G12" s="3">
        <v>76</v>
      </c>
      <c r="H12" s="3">
        <v>76</v>
      </c>
      <c r="I12" s="3">
        <v>89</v>
      </c>
      <c r="J12" s="3">
        <v>89</v>
      </c>
      <c r="K12" s="3">
        <v>89</v>
      </c>
      <c r="L12" s="3">
        <v>89</v>
      </c>
      <c r="M12" s="4">
        <v>83</v>
      </c>
      <c r="N12" s="4">
        <v>83</v>
      </c>
      <c r="O12" s="4">
        <v>83</v>
      </c>
      <c r="P12" s="4">
        <v>83</v>
      </c>
      <c r="Q12" s="4">
        <v>89</v>
      </c>
      <c r="R12" s="4">
        <v>89</v>
      </c>
      <c r="S12" s="4">
        <v>89</v>
      </c>
      <c r="T12" s="4">
        <v>89</v>
      </c>
      <c r="U12" s="4">
        <v>89</v>
      </c>
      <c r="V12" s="4">
        <v>89</v>
      </c>
      <c r="W12" s="4">
        <v>89</v>
      </c>
      <c r="X12" s="4">
        <v>89</v>
      </c>
    </row>
    <row r="13" spans="1:24" x14ac:dyDescent="0.45">
      <c r="A13" s="4" t="s">
        <v>122</v>
      </c>
      <c r="B13" s="2" t="s">
        <v>34</v>
      </c>
      <c r="C13" s="2">
        <v>88</v>
      </c>
      <c r="D13" s="2">
        <v>88</v>
      </c>
      <c r="E13" s="2">
        <v>90</v>
      </c>
      <c r="F13" s="2">
        <v>90</v>
      </c>
      <c r="G13" s="2">
        <v>90</v>
      </c>
      <c r="H13" s="2">
        <v>90</v>
      </c>
      <c r="I13" s="2">
        <v>87</v>
      </c>
      <c r="J13" s="2">
        <v>87</v>
      </c>
      <c r="K13" s="2">
        <v>87</v>
      </c>
      <c r="L13" s="2">
        <v>87</v>
      </c>
      <c r="M13" s="4">
        <v>87</v>
      </c>
      <c r="N13" s="4">
        <v>87</v>
      </c>
      <c r="O13" s="4">
        <v>87</v>
      </c>
      <c r="P13" s="4">
        <v>87</v>
      </c>
      <c r="Q13" s="4">
        <v>91</v>
      </c>
      <c r="R13" s="4">
        <v>91</v>
      </c>
      <c r="S13" s="4">
        <v>91</v>
      </c>
      <c r="T13" s="4">
        <v>91</v>
      </c>
      <c r="U13" s="4">
        <v>91</v>
      </c>
      <c r="V13" s="4">
        <v>91</v>
      </c>
      <c r="W13" s="4">
        <v>91</v>
      </c>
      <c r="X13" s="4">
        <v>91</v>
      </c>
    </row>
    <row r="14" spans="1:24" x14ac:dyDescent="0.45">
      <c r="A14" s="4" t="s">
        <v>122</v>
      </c>
      <c r="B14" s="3" t="s">
        <v>38</v>
      </c>
      <c r="C14" s="3">
        <v>92</v>
      </c>
      <c r="D14" s="3">
        <v>92</v>
      </c>
      <c r="E14" s="3">
        <v>81</v>
      </c>
      <c r="F14" s="3">
        <v>81</v>
      </c>
      <c r="G14" s="3">
        <v>81</v>
      </c>
      <c r="H14" s="3">
        <v>81</v>
      </c>
      <c r="I14" s="3">
        <v>88</v>
      </c>
      <c r="J14" s="3">
        <v>88</v>
      </c>
      <c r="K14" s="3">
        <v>88</v>
      </c>
      <c r="L14" s="3">
        <v>88</v>
      </c>
      <c r="M14" s="4">
        <v>90</v>
      </c>
      <c r="N14" s="4">
        <v>90</v>
      </c>
      <c r="O14" s="4">
        <v>90</v>
      </c>
      <c r="P14" s="4">
        <v>90</v>
      </c>
      <c r="Q14" s="4">
        <v>82</v>
      </c>
      <c r="R14" s="4">
        <v>82</v>
      </c>
      <c r="S14" s="4">
        <v>82</v>
      </c>
      <c r="T14" s="4">
        <v>82</v>
      </c>
      <c r="U14" s="4">
        <v>81</v>
      </c>
      <c r="V14" s="4">
        <v>81</v>
      </c>
      <c r="W14" s="4">
        <v>81</v>
      </c>
      <c r="X14" s="4">
        <v>81</v>
      </c>
    </row>
    <row r="15" spans="1:24" x14ac:dyDescent="0.45">
      <c r="A15" s="4" t="s">
        <v>122</v>
      </c>
      <c r="B15" s="2" t="s">
        <v>29</v>
      </c>
      <c r="C15" s="2">
        <v>52</v>
      </c>
      <c r="D15" s="2">
        <v>52</v>
      </c>
      <c r="E15" s="2">
        <v>55</v>
      </c>
      <c r="F15" s="2">
        <v>55</v>
      </c>
      <c r="G15" s="2">
        <v>55</v>
      </c>
      <c r="H15" s="2">
        <v>55</v>
      </c>
      <c r="I15" s="2">
        <v>76</v>
      </c>
      <c r="J15" s="2">
        <v>76</v>
      </c>
      <c r="K15" s="2">
        <v>76</v>
      </c>
      <c r="L15" s="2">
        <v>76</v>
      </c>
      <c r="M15" s="4">
        <v>63</v>
      </c>
      <c r="N15" s="4">
        <v>63</v>
      </c>
      <c r="O15" s="4">
        <v>63</v>
      </c>
      <c r="P15" s="4">
        <v>63</v>
      </c>
      <c r="Q15" s="4">
        <v>60</v>
      </c>
      <c r="R15" s="4">
        <v>60</v>
      </c>
      <c r="S15" s="4">
        <v>60</v>
      </c>
      <c r="T15" s="4">
        <v>60</v>
      </c>
      <c r="U15" s="4" t="s">
        <v>123</v>
      </c>
      <c r="V15" s="4" t="s">
        <v>123</v>
      </c>
      <c r="W15" s="4" t="s">
        <v>123</v>
      </c>
      <c r="X15" s="4" t="s">
        <v>123</v>
      </c>
    </row>
    <row r="16" spans="1:24" x14ac:dyDescent="0.45">
      <c r="A16" s="4" t="s">
        <v>122</v>
      </c>
      <c r="B16" s="3" t="s">
        <v>17</v>
      </c>
      <c r="C16" s="3">
        <v>100</v>
      </c>
      <c r="D16" s="3">
        <v>100</v>
      </c>
      <c r="E16" s="3">
        <v>55</v>
      </c>
      <c r="F16" s="3">
        <v>55</v>
      </c>
      <c r="G16" s="3">
        <v>55</v>
      </c>
      <c r="H16" s="3">
        <v>55</v>
      </c>
      <c r="I16" s="3">
        <v>100</v>
      </c>
      <c r="J16" s="3">
        <v>100</v>
      </c>
      <c r="K16" s="3">
        <v>100</v>
      </c>
      <c r="L16" s="3">
        <v>100</v>
      </c>
      <c r="M16" s="4">
        <v>98</v>
      </c>
      <c r="N16" s="4">
        <v>98</v>
      </c>
      <c r="O16" s="4">
        <v>98</v>
      </c>
      <c r="P16" s="4">
        <v>98</v>
      </c>
      <c r="Q16" s="4">
        <v>100</v>
      </c>
      <c r="R16" s="4">
        <v>100</v>
      </c>
      <c r="S16" s="4">
        <v>100</v>
      </c>
      <c r="T16" s="4">
        <v>100</v>
      </c>
      <c r="U16" s="4">
        <v>99</v>
      </c>
      <c r="V16" s="4">
        <v>99</v>
      </c>
      <c r="W16" s="4">
        <v>99</v>
      </c>
      <c r="X16" s="4">
        <v>99</v>
      </c>
    </row>
    <row r="17" spans="1:24" x14ac:dyDescent="0.45">
      <c r="A17" s="4" t="s">
        <v>122</v>
      </c>
      <c r="B17" s="2" t="s">
        <v>119</v>
      </c>
      <c r="C17" s="2">
        <v>78.33</v>
      </c>
      <c r="D17" s="2">
        <v>78.33</v>
      </c>
      <c r="E17" s="2">
        <v>75</v>
      </c>
      <c r="F17" s="2">
        <v>75</v>
      </c>
      <c r="G17" s="2">
        <v>75</v>
      </c>
      <c r="H17" s="2">
        <v>75</v>
      </c>
      <c r="I17" s="2">
        <v>90</v>
      </c>
      <c r="J17" s="2">
        <v>90</v>
      </c>
      <c r="K17" s="2">
        <v>90</v>
      </c>
      <c r="L17" s="2">
        <v>90</v>
      </c>
      <c r="M17" s="4">
        <v>90</v>
      </c>
      <c r="N17" s="4">
        <v>90</v>
      </c>
      <c r="O17" s="4">
        <v>90</v>
      </c>
      <c r="P17" s="4">
        <v>90</v>
      </c>
      <c r="Q17" s="4">
        <v>86</v>
      </c>
      <c r="R17" s="4">
        <v>86</v>
      </c>
      <c r="S17" s="4">
        <v>86</v>
      </c>
      <c r="T17" s="4">
        <v>86</v>
      </c>
      <c r="U17" s="4">
        <v>90</v>
      </c>
      <c r="V17" s="4">
        <v>90</v>
      </c>
      <c r="W17" s="4">
        <v>90</v>
      </c>
      <c r="X17" s="4">
        <v>90</v>
      </c>
    </row>
    <row r="18" spans="1:24" x14ac:dyDescent="0.45">
      <c r="A18" s="4" t="s">
        <v>122</v>
      </c>
      <c r="B18" s="3" t="s">
        <v>16</v>
      </c>
      <c r="C18" s="3"/>
      <c r="D18" s="3"/>
      <c r="E18" s="3">
        <v>84</v>
      </c>
      <c r="F18" s="3">
        <v>84</v>
      </c>
      <c r="G18" s="3">
        <v>84</v>
      </c>
      <c r="H18" s="3">
        <v>84</v>
      </c>
      <c r="I18" s="3">
        <v>99</v>
      </c>
      <c r="J18" s="3">
        <v>99</v>
      </c>
      <c r="K18" s="3">
        <v>99</v>
      </c>
      <c r="L18" s="3">
        <v>99</v>
      </c>
      <c r="M18" s="4">
        <v>92</v>
      </c>
      <c r="N18" s="4">
        <v>92</v>
      </c>
      <c r="O18" s="4">
        <v>92</v>
      </c>
      <c r="P18" s="4">
        <v>92</v>
      </c>
      <c r="Q18" s="4">
        <v>93</v>
      </c>
      <c r="R18" s="4">
        <v>93</v>
      </c>
      <c r="S18" s="4">
        <v>93</v>
      </c>
      <c r="T18" s="4">
        <v>93</v>
      </c>
      <c r="U18" s="4" t="s">
        <v>123</v>
      </c>
      <c r="V18" s="4" t="s">
        <v>123</v>
      </c>
      <c r="W18" s="4" t="s">
        <v>123</v>
      </c>
      <c r="X18" s="4" t="s">
        <v>123</v>
      </c>
    </row>
    <row r="19" spans="1:24" x14ac:dyDescent="0.45">
      <c r="A19" s="4" t="s">
        <v>122</v>
      </c>
      <c r="B19" s="3" t="s">
        <v>10</v>
      </c>
      <c r="C19" s="3">
        <v>63.33</v>
      </c>
      <c r="D19" s="3">
        <v>63.33</v>
      </c>
      <c r="E19" s="3">
        <v>76</v>
      </c>
      <c r="F19" s="3">
        <v>76</v>
      </c>
      <c r="G19" s="3">
        <v>76</v>
      </c>
      <c r="H19" s="3">
        <v>76</v>
      </c>
      <c r="I19" s="3">
        <v>83</v>
      </c>
      <c r="J19" s="3">
        <v>83</v>
      </c>
      <c r="K19" s="3">
        <v>83</v>
      </c>
      <c r="L19" s="3">
        <v>83</v>
      </c>
      <c r="M19" s="4">
        <v>86</v>
      </c>
      <c r="N19" s="4">
        <v>86</v>
      </c>
      <c r="O19" s="4">
        <v>86</v>
      </c>
      <c r="P19" s="4">
        <v>86</v>
      </c>
      <c r="Q19" s="4">
        <v>86</v>
      </c>
      <c r="R19" s="4">
        <v>86</v>
      </c>
      <c r="S19" s="4">
        <v>86</v>
      </c>
      <c r="T19" s="4">
        <v>86</v>
      </c>
      <c r="U19" s="4">
        <v>87</v>
      </c>
      <c r="V19" s="4">
        <v>87</v>
      </c>
      <c r="W19" s="4">
        <v>87</v>
      </c>
      <c r="X19" s="4">
        <v>87</v>
      </c>
    </row>
    <row r="20" spans="1:24" x14ac:dyDescent="0.45">
      <c r="A20" s="4" t="s">
        <v>122</v>
      </c>
      <c r="B20" s="2" t="s">
        <v>8</v>
      </c>
      <c r="C20" s="2">
        <v>66.67</v>
      </c>
      <c r="D20" s="2">
        <v>66.67</v>
      </c>
      <c r="E20" s="2">
        <v>72</v>
      </c>
      <c r="F20" s="2">
        <v>72</v>
      </c>
      <c r="G20" s="2">
        <v>72</v>
      </c>
      <c r="H20" s="2">
        <v>72</v>
      </c>
      <c r="I20" s="2">
        <v>82</v>
      </c>
      <c r="J20" s="2">
        <v>82</v>
      </c>
      <c r="K20" s="2">
        <v>82</v>
      </c>
      <c r="L20" s="2">
        <v>82</v>
      </c>
      <c r="M20" s="4">
        <v>71</v>
      </c>
      <c r="N20" s="4">
        <v>71</v>
      </c>
      <c r="O20" s="4">
        <v>71</v>
      </c>
      <c r="P20" s="4">
        <v>71</v>
      </c>
      <c r="Q20" s="4">
        <v>78</v>
      </c>
      <c r="R20" s="4">
        <v>78</v>
      </c>
      <c r="S20" s="4">
        <v>78</v>
      </c>
      <c r="T20" s="4">
        <v>78</v>
      </c>
      <c r="U20" s="4">
        <v>82</v>
      </c>
      <c r="V20" s="4">
        <v>82</v>
      </c>
      <c r="W20" s="4">
        <v>82</v>
      </c>
      <c r="X20" s="4">
        <v>82</v>
      </c>
    </row>
    <row r="21" spans="1:24" x14ac:dyDescent="0.45">
      <c r="A21" s="4" t="s">
        <v>122</v>
      </c>
      <c r="B21" s="3" t="s">
        <v>18</v>
      </c>
      <c r="C21" s="3">
        <v>90</v>
      </c>
      <c r="D21" s="3">
        <v>90</v>
      </c>
      <c r="E21" s="3">
        <v>84</v>
      </c>
      <c r="F21" s="3">
        <v>84</v>
      </c>
      <c r="G21" s="3">
        <v>84</v>
      </c>
      <c r="H21" s="3">
        <v>84</v>
      </c>
      <c r="I21" s="3">
        <v>91</v>
      </c>
      <c r="J21" s="3">
        <v>91</v>
      </c>
      <c r="K21" s="3">
        <v>91</v>
      </c>
      <c r="L21" s="3">
        <v>91</v>
      </c>
      <c r="M21" s="4">
        <v>90</v>
      </c>
      <c r="N21" s="4">
        <v>90</v>
      </c>
      <c r="O21" s="4">
        <v>90</v>
      </c>
      <c r="P21" s="4">
        <v>90</v>
      </c>
      <c r="Q21" s="4">
        <v>87</v>
      </c>
      <c r="R21" s="4">
        <v>87</v>
      </c>
      <c r="S21" s="4">
        <v>87</v>
      </c>
      <c r="T21" s="4">
        <v>87</v>
      </c>
      <c r="U21" s="4">
        <v>92</v>
      </c>
      <c r="V21" s="4">
        <v>92</v>
      </c>
      <c r="W21" s="4">
        <v>92</v>
      </c>
      <c r="X21" s="4">
        <v>92</v>
      </c>
    </row>
    <row r="22" spans="1:24" x14ac:dyDescent="0.45">
      <c r="A22" s="4" t="s">
        <v>122</v>
      </c>
      <c r="B22" s="2" t="s">
        <v>11</v>
      </c>
      <c r="C22" s="2">
        <v>85</v>
      </c>
      <c r="D22" s="2">
        <v>85</v>
      </c>
      <c r="E22" s="2">
        <v>76</v>
      </c>
      <c r="F22" s="2">
        <v>76</v>
      </c>
      <c r="G22" s="2">
        <v>76</v>
      </c>
      <c r="H22" s="2">
        <v>76</v>
      </c>
      <c r="I22" s="2">
        <v>90</v>
      </c>
      <c r="J22" s="2">
        <v>90</v>
      </c>
      <c r="K22" s="2">
        <v>90</v>
      </c>
      <c r="L22" s="2">
        <v>90</v>
      </c>
      <c r="M22" s="4">
        <v>52</v>
      </c>
      <c r="N22" s="4">
        <v>52</v>
      </c>
      <c r="O22" s="4">
        <v>52</v>
      </c>
      <c r="P22" s="4">
        <v>52</v>
      </c>
      <c r="Q22" s="4">
        <v>79</v>
      </c>
      <c r="R22" s="4">
        <v>79</v>
      </c>
      <c r="S22" s="4">
        <v>79</v>
      </c>
      <c r="T22" s="4">
        <v>79</v>
      </c>
      <c r="U22" s="4">
        <v>56</v>
      </c>
      <c r="V22" s="4">
        <v>56</v>
      </c>
      <c r="W22" s="4">
        <v>56</v>
      </c>
      <c r="X22" s="4">
        <v>56</v>
      </c>
    </row>
    <row r="23" spans="1:24" x14ac:dyDescent="0.45">
      <c r="A23" s="4" t="s">
        <v>122</v>
      </c>
      <c r="B23" s="3" t="s">
        <v>15</v>
      </c>
      <c r="C23" s="3">
        <v>93.33</v>
      </c>
      <c r="D23" s="3">
        <v>93.33</v>
      </c>
      <c r="E23" s="3">
        <v>95</v>
      </c>
      <c r="F23" s="3">
        <v>95</v>
      </c>
      <c r="G23" s="3">
        <v>95</v>
      </c>
      <c r="H23" s="3">
        <v>95</v>
      </c>
      <c r="I23" s="3">
        <v>99</v>
      </c>
      <c r="J23" s="3">
        <v>99</v>
      </c>
      <c r="K23" s="3">
        <v>99</v>
      </c>
      <c r="L23" s="3">
        <v>99</v>
      </c>
      <c r="M23" s="4">
        <v>99</v>
      </c>
      <c r="N23" s="4">
        <v>99</v>
      </c>
      <c r="O23" s="4">
        <v>99</v>
      </c>
      <c r="P23" s="4">
        <v>99</v>
      </c>
      <c r="Q23" s="4">
        <v>95</v>
      </c>
      <c r="R23" s="4">
        <v>95</v>
      </c>
      <c r="S23" s="4">
        <v>95</v>
      </c>
      <c r="T23" s="4">
        <v>95</v>
      </c>
      <c r="U23" s="4">
        <v>98</v>
      </c>
      <c r="V23" s="4">
        <v>98</v>
      </c>
      <c r="W23" s="4">
        <v>98</v>
      </c>
      <c r="X23" s="4">
        <v>98</v>
      </c>
    </row>
    <row r="24" spans="1:24" x14ac:dyDescent="0.45">
      <c r="A24" s="4" t="s">
        <v>122</v>
      </c>
      <c r="B24" s="2" t="s">
        <v>14</v>
      </c>
      <c r="C24" s="2">
        <v>80</v>
      </c>
      <c r="D24" s="2">
        <v>80</v>
      </c>
      <c r="E24" s="2">
        <v>93</v>
      </c>
      <c r="F24" s="2">
        <v>93</v>
      </c>
      <c r="G24" s="2">
        <v>93</v>
      </c>
      <c r="H24" s="2">
        <v>93</v>
      </c>
      <c r="I24" s="2">
        <v>94</v>
      </c>
      <c r="J24" s="2">
        <v>94</v>
      </c>
      <c r="K24" s="2">
        <v>94</v>
      </c>
      <c r="L24" s="2">
        <v>94</v>
      </c>
      <c r="M24" s="4">
        <v>93</v>
      </c>
      <c r="N24" s="4">
        <v>93</v>
      </c>
      <c r="O24" s="4">
        <v>93</v>
      </c>
      <c r="P24" s="4">
        <v>93</v>
      </c>
      <c r="Q24" s="4">
        <v>93</v>
      </c>
      <c r="R24" s="4">
        <v>93</v>
      </c>
      <c r="S24" s="4">
        <v>93</v>
      </c>
      <c r="T24" s="4">
        <v>93</v>
      </c>
      <c r="U24" s="4">
        <v>96</v>
      </c>
      <c r="V24" s="4">
        <v>96</v>
      </c>
      <c r="W24" s="4">
        <v>96</v>
      </c>
      <c r="X24" s="4">
        <v>96</v>
      </c>
    </row>
    <row r="25" spans="1:24" x14ac:dyDescent="0.45">
      <c r="A25" s="4" t="s">
        <v>122</v>
      </c>
      <c r="B25" s="3" t="s">
        <v>13</v>
      </c>
      <c r="C25" s="3">
        <v>100</v>
      </c>
      <c r="D25" s="3">
        <v>100</v>
      </c>
      <c r="E25" s="3">
        <v>97</v>
      </c>
      <c r="F25" s="3">
        <v>97</v>
      </c>
      <c r="G25" s="3">
        <v>97</v>
      </c>
      <c r="H25" s="3">
        <v>97</v>
      </c>
      <c r="I25" s="3">
        <v>92</v>
      </c>
      <c r="J25" s="3">
        <v>92</v>
      </c>
      <c r="K25" s="3">
        <v>92</v>
      </c>
      <c r="L25" s="3">
        <v>92</v>
      </c>
      <c r="M25" s="4">
        <v>97</v>
      </c>
      <c r="N25" s="4">
        <v>97</v>
      </c>
      <c r="O25" s="4">
        <v>97</v>
      </c>
      <c r="P25" s="4">
        <v>97</v>
      </c>
      <c r="Q25" s="4">
        <v>99</v>
      </c>
      <c r="R25" s="4">
        <v>99</v>
      </c>
      <c r="S25" s="4">
        <v>99</v>
      </c>
      <c r="T25" s="4">
        <v>99</v>
      </c>
      <c r="U25" s="4">
        <v>99</v>
      </c>
      <c r="V25" s="4">
        <v>99</v>
      </c>
      <c r="W25" s="4">
        <v>99</v>
      </c>
      <c r="X25" s="4">
        <v>99</v>
      </c>
    </row>
    <row r="26" spans="1:24" x14ac:dyDescent="0.45">
      <c r="A26" s="4" t="s">
        <v>122</v>
      </c>
      <c r="B26" s="2" t="s">
        <v>12</v>
      </c>
      <c r="C26" s="2" t="s">
        <v>124</v>
      </c>
      <c r="D26" s="2">
        <v>96</v>
      </c>
      <c r="E26" s="2">
        <v>99</v>
      </c>
      <c r="F26" s="4"/>
      <c r="G26" s="4"/>
      <c r="H26" s="4"/>
      <c r="I26" s="4"/>
      <c r="J26" s="4"/>
      <c r="K26" s="4"/>
      <c r="L26" s="4"/>
      <c r="M26" s="4"/>
      <c r="N26" s="4"/>
      <c r="O26" s="4"/>
      <c r="P26" s="4"/>
      <c r="Q26" s="2">
        <v>96</v>
      </c>
      <c r="R26" s="2">
        <v>96</v>
      </c>
      <c r="S26" s="2">
        <v>96</v>
      </c>
      <c r="T26" s="2">
        <v>96</v>
      </c>
      <c r="U26" s="2">
        <v>99</v>
      </c>
      <c r="V26" s="2">
        <v>99</v>
      </c>
      <c r="W26" s="2">
        <v>99</v>
      </c>
      <c r="X26" s="2">
        <v>99</v>
      </c>
    </row>
    <row r="27" spans="1:24" x14ac:dyDescent="0.45">
      <c r="A27" s="4" t="s">
        <v>122</v>
      </c>
      <c r="B27" s="2" t="s">
        <v>9</v>
      </c>
      <c r="C27" s="2" t="s">
        <v>124</v>
      </c>
      <c r="D27" s="2">
        <v>97</v>
      </c>
      <c r="E27" s="2">
        <v>77</v>
      </c>
      <c r="F27" s="4"/>
      <c r="G27" s="4"/>
      <c r="H27" s="4"/>
      <c r="I27" s="4"/>
      <c r="J27" s="4"/>
      <c r="K27" s="4"/>
      <c r="L27" s="4"/>
      <c r="M27" s="4"/>
      <c r="N27" s="4"/>
      <c r="O27" s="4"/>
      <c r="P27" s="4"/>
      <c r="Q27" s="2">
        <v>97</v>
      </c>
      <c r="R27" s="2">
        <v>97</v>
      </c>
      <c r="S27" s="2">
        <v>97</v>
      </c>
      <c r="T27" s="2">
        <v>97</v>
      </c>
      <c r="U27" s="2">
        <v>77</v>
      </c>
      <c r="V27" s="2">
        <v>77</v>
      </c>
      <c r="W27" s="2">
        <v>77</v>
      </c>
      <c r="X27" s="2">
        <v>77</v>
      </c>
    </row>
    <row r="28" spans="1:24" x14ac:dyDescent="0.45">
      <c r="A28" s="4" t="s">
        <v>122</v>
      </c>
      <c r="B28" s="4" t="s">
        <v>32</v>
      </c>
      <c r="C28" s="4"/>
      <c r="D28" s="4"/>
      <c r="E28" s="4"/>
      <c r="F28" s="4"/>
      <c r="G28" s="4"/>
      <c r="H28" s="4"/>
      <c r="I28" s="4"/>
      <c r="J28" s="4"/>
      <c r="K28" s="4"/>
      <c r="L28" s="4"/>
      <c r="M28" s="6">
        <v>64</v>
      </c>
      <c r="N28" s="6">
        <v>64</v>
      </c>
      <c r="O28" s="6">
        <v>64</v>
      </c>
      <c r="P28" s="6">
        <v>64</v>
      </c>
      <c r="Q28" s="6">
        <v>89</v>
      </c>
      <c r="R28" s="6">
        <v>89</v>
      </c>
      <c r="S28" s="6">
        <v>89</v>
      </c>
      <c r="T28" s="6">
        <v>89</v>
      </c>
      <c r="U28" s="6">
        <v>87</v>
      </c>
      <c r="V28" s="6">
        <v>87</v>
      </c>
      <c r="W28" s="6">
        <v>87</v>
      </c>
      <c r="X28" s="6">
        <v>87</v>
      </c>
    </row>
    <row r="29" spans="1:24" x14ac:dyDescent="0.45">
      <c r="A29" s="4" t="s">
        <v>122</v>
      </c>
      <c r="B29" s="2" t="s">
        <v>125</v>
      </c>
      <c r="C29" s="2">
        <v>91.67</v>
      </c>
      <c r="D29" s="2">
        <v>91.67</v>
      </c>
      <c r="E29" s="2">
        <v>96.67</v>
      </c>
      <c r="F29" s="2">
        <v>96.67</v>
      </c>
      <c r="G29" s="2">
        <v>73.33</v>
      </c>
      <c r="H29" s="2">
        <v>73.33</v>
      </c>
      <c r="I29" s="2">
        <v>100</v>
      </c>
      <c r="J29" s="2">
        <v>100</v>
      </c>
      <c r="K29" s="2">
        <v>93.33</v>
      </c>
      <c r="L29" s="2">
        <v>93.33</v>
      </c>
      <c r="M29" s="2">
        <v>88.33</v>
      </c>
      <c r="N29" s="2">
        <v>88.33</v>
      </c>
      <c r="O29" s="2">
        <v>95</v>
      </c>
      <c r="P29" s="2">
        <v>95</v>
      </c>
      <c r="Q29" s="2">
        <v>88.33</v>
      </c>
      <c r="R29" s="2">
        <v>88.33</v>
      </c>
      <c r="S29" s="2">
        <v>86.67</v>
      </c>
      <c r="T29" s="2">
        <v>86.67</v>
      </c>
      <c r="U29" s="2">
        <v>86.67</v>
      </c>
      <c r="V29" s="2">
        <v>86.67</v>
      </c>
      <c r="W29" s="2">
        <v>93.33</v>
      </c>
      <c r="X29" s="2">
        <v>93.33</v>
      </c>
    </row>
    <row r="30" spans="1:24" x14ac:dyDescent="0.45">
      <c r="A30" s="4" t="s">
        <v>122</v>
      </c>
      <c r="B30" s="2" t="s">
        <v>126</v>
      </c>
      <c r="C30" s="2">
        <v>30</v>
      </c>
      <c r="D30" s="2">
        <v>30</v>
      </c>
      <c r="E30" s="2">
        <v>76.67</v>
      </c>
      <c r="F30" s="2">
        <v>76.67</v>
      </c>
      <c r="G30" s="2">
        <v>26.67</v>
      </c>
      <c r="H30" s="2">
        <v>26.67</v>
      </c>
      <c r="I30" s="2">
        <v>56.67</v>
      </c>
      <c r="J30" s="2">
        <v>56.67</v>
      </c>
      <c r="K30" s="2">
        <v>63.33</v>
      </c>
      <c r="L30" s="2">
        <v>63.33</v>
      </c>
      <c r="M30" s="2">
        <v>50</v>
      </c>
      <c r="N30" s="2">
        <v>50</v>
      </c>
      <c r="O30" s="2">
        <v>58.33</v>
      </c>
      <c r="P30" s="2">
        <v>58.33</v>
      </c>
      <c r="Q30" s="2">
        <v>58.33</v>
      </c>
      <c r="R30" s="2">
        <v>58.33</v>
      </c>
      <c r="S30" s="2">
        <v>18.329999999999998</v>
      </c>
      <c r="T30" s="2">
        <v>18.329999999999998</v>
      </c>
      <c r="U30" s="2">
        <v>70</v>
      </c>
      <c r="V30" s="2">
        <v>70</v>
      </c>
      <c r="W30" s="2">
        <v>60</v>
      </c>
      <c r="X30" s="2">
        <v>60</v>
      </c>
    </row>
    <row r="31" spans="1:24" x14ac:dyDescent="0.45">
      <c r="A31" s="4" t="s">
        <v>122</v>
      </c>
      <c r="B31" s="2" t="s">
        <v>127</v>
      </c>
      <c r="C31" s="2">
        <v>73.33</v>
      </c>
      <c r="D31" s="2">
        <v>73.33</v>
      </c>
      <c r="E31" s="2">
        <v>100</v>
      </c>
      <c r="F31" s="2">
        <v>100</v>
      </c>
      <c r="G31" s="2">
        <v>80</v>
      </c>
      <c r="H31" s="2">
        <v>80</v>
      </c>
      <c r="I31" s="2">
        <v>96.67</v>
      </c>
      <c r="J31" s="2">
        <v>96.67</v>
      </c>
      <c r="K31" s="2">
        <v>90</v>
      </c>
      <c r="L31" s="2">
        <v>90</v>
      </c>
      <c r="M31" s="2">
        <v>98.33</v>
      </c>
      <c r="N31" s="2">
        <v>98.33</v>
      </c>
      <c r="O31" s="2">
        <v>93.33</v>
      </c>
      <c r="P31" s="2">
        <v>93.33</v>
      </c>
      <c r="Q31" s="2">
        <v>98.33</v>
      </c>
      <c r="R31" s="2">
        <v>98.33</v>
      </c>
      <c r="S31" s="2">
        <v>81.67</v>
      </c>
      <c r="T31" s="2">
        <v>81.67</v>
      </c>
      <c r="U31" s="2">
        <v>100</v>
      </c>
      <c r="V31" s="2">
        <v>100</v>
      </c>
      <c r="W31" s="2">
        <v>98.33</v>
      </c>
      <c r="X31" s="2">
        <v>98.33</v>
      </c>
    </row>
    <row r="32" spans="1:24" x14ac:dyDescent="0.45">
      <c r="A32" s="4" t="s">
        <v>122</v>
      </c>
      <c r="B32" s="2" t="s">
        <v>128</v>
      </c>
      <c r="C32" s="2">
        <v>53.33</v>
      </c>
      <c r="D32" s="2">
        <v>53.33</v>
      </c>
      <c r="E32" s="2">
        <v>96.67</v>
      </c>
      <c r="F32" s="2">
        <v>96.67</v>
      </c>
      <c r="G32" s="2">
        <v>66.67</v>
      </c>
      <c r="H32" s="2">
        <v>66.67</v>
      </c>
      <c r="I32" s="2">
        <v>83.33</v>
      </c>
      <c r="J32" s="2">
        <v>83.33</v>
      </c>
      <c r="K32" s="2">
        <v>70</v>
      </c>
      <c r="L32" s="2">
        <v>70</v>
      </c>
      <c r="M32" s="2">
        <v>83.33</v>
      </c>
      <c r="N32" s="2">
        <v>83.33</v>
      </c>
      <c r="O32" s="2">
        <v>80</v>
      </c>
      <c r="P32" s="2">
        <v>80</v>
      </c>
      <c r="Q32" s="2">
        <v>63.33</v>
      </c>
      <c r="R32" s="2">
        <v>63.33</v>
      </c>
      <c r="S32" s="2">
        <v>63.33</v>
      </c>
      <c r="T32" s="2">
        <v>63.33</v>
      </c>
      <c r="U32" s="2">
        <v>96.67</v>
      </c>
      <c r="V32" s="2">
        <v>96.67</v>
      </c>
      <c r="W32" s="2">
        <v>85</v>
      </c>
      <c r="X32" s="2">
        <v>85</v>
      </c>
    </row>
    <row r="33" spans="1:24" x14ac:dyDescent="0.45">
      <c r="A33" s="4" t="s">
        <v>122</v>
      </c>
      <c r="B33" s="2" t="s">
        <v>129</v>
      </c>
      <c r="C33" s="2">
        <v>30</v>
      </c>
      <c r="D33" s="2">
        <v>30</v>
      </c>
      <c r="E33" s="2">
        <v>56.67</v>
      </c>
      <c r="F33" s="2">
        <v>56.67</v>
      </c>
      <c r="G33" s="2">
        <v>40</v>
      </c>
      <c r="H33" s="2">
        <v>40</v>
      </c>
      <c r="I33" s="2">
        <v>88.33</v>
      </c>
      <c r="J33" s="2">
        <v>88.33</v>
      </c>
      <c r="K33" s="2">
        <v>41.67</v>
      </c>
      <c r="L33" s="2">
        <v>41.67</v>
      </c>
      <c r="M33" s="2">
        <v>36.67</v>
      </c>
      <c r="N33" s="2">
        <v>36.67</v>
      </c>
      <c r="O33" s="2">
        <v>28.33</v>
      </c>
      <c r="P33" s="2">
        <v>28.33</v>
      </c>
      <c r="Q33" s="2">
        <v>73.33</v>
      </c>
      <c r="R33" s="2">
        <v>73.33</v>
      </c>
      <c r="S33" s="2">
        <v>45</v>
      </c>
      <c r="T33" s="2">
        <v>45</v>
      </c>
      <c r="U33" s="2">
        <v>95</v>
      </c>
      <c r="V33" s="2">
        <v>95</v>
      </c>
      <c r="W33" s="2" t="s">
        <v>130</v>
      </c>
      <c r="X33" s="2" t="s">
        <v>130</v>
      </c>
    </row>
    <row r="34" spans="1:24" x14ac:dyDescent="0.45">
      <c r="A34" s="4" t="s">
        <v>122</v>
      </c>
      <c r="B34" s="2" t="s">
        <v>131</v>
      </c>
      <c r="C34" s="2">
        <v>48.33</v>
      </c>
      <c r="D34" s="2">
        <v>48.33</v>
      </c>
      <c r="E34" s="2">
        <v>96.67</v>
      </c>
      <c r="F34" s="2">
        <v>96.67</v>
      </c>
      <c r="G34" s="2">
        <v>53.33</v>
      </c>
      <c r="H34" s="2">
        <v>53.33</v>
      </c>
      <c r="I34" s="2">
        <v>91.67</v>
      </c>
      <c r="J34" s="2">
        <v>91.67</v>
      </c>
      <c r="K34" s="2">
        <v>91.67</v>
      </c>
      <c r="L34" s="2">
        <v>91.67</v>
      </c>
      <c r="M34" s="2">
        <v>83.33</v>
      </c>
      <c r="N34" s="2">
        <v>83.33</v>
      </c>
      <c r="O34" s="2">
        <v>88.33</v>
      </c>
      <c r="P34" s="2">
        <v>88.33</v>
      </c>
      <c r="Q34" s="2">
        <v>53.33</v>
      </c>
      <c r="R34" s="2">
        <v>53.33</v>
      </c>
      <c r="S34" s="2">
        <v>80</v>
      </c>
      <c r="T34" s="2">
        <v>80</v>
      </c>
      <c r="U34" s="2">
        <v>86.67</v>
      </c>
      <c r="V34" s="2">
        <v>86.67</v>
      </c>
      <c r="W34" s="2">
        <v>76.67</v>
      </c>
      <c r="X34" s="2">
        <v>76.67</v>
      </c>
    </row>
    <row r="35" spans="1:24" x14ac:dyDescent="0.45">
      <c r="A35" s="4" t="s">
        <v>122</v>
      </c>
      <c r="B35" s="2" t="s">
        <v>132</v>
      </c>
      <c r="C35" s="2">
        <v>61.67</v>
      </c>
      <c r="D35" s="2">
        <v>61.67</v>
      </c>
      <c r="E35" s="2">
        <v>91.67</v>
      </c>
      <c r="F35" s="2">
        <v>91.67</v>
      </c>
      <c r="G35" s="2">
        <v>53.33</v>
      </c>
      <c r="H35" s="2">
        <v>53.33</v>
      </c>
      <c r="I35" s="2">
        <v>100</v>
      </c>
      <c r="J35" s="2">
        <v>100</v>
      </c>
      <c r="K35" s="2">
        <v>100</v>
      </c>
      <c r="L35" s="2">
        <v>100</v>
      </c>
      <c r="M35" s="2">
        <v>95</v>
      </c>
      <c r="N35" s="2">
        <v>95</v>
      </c>
      <c r="O35" s="2">
        <v>90</v>
      </c>
      <c r="P35" s="2">
        <v>90</v>
      </c>
      <c r="Q35" s="2">
        <v>73.33</v>
      </c>
      <c r="R35" s="2">
        <v>73.33</v>
      </c>
      <c r="S35" s="2">
        <v>63.33</v>
      </c>
      <c r="T35" s="2">
        <v>63.33</v>
      </c>
      <c r="U35" s="2">
        <v>83.33</v>
      </c>
      <c r="V35" s="2">
        <v>83.33</v>
      </c>
      <c r="W35" s="2">
        <v>96.67</v>
      </c>
      <c r="X35" s="2">
        <v>96.67</v>
      </c>
    </row>
    <row r="36" spans="1:24" x14ac:dyDescent="0.45">
      <c r="A36" s="4" t="s">
        <v>122</v>
      </c>
      <c r="B36" s="2" t="s">
        <v>133</v>
      </c>
      <c r="C36" s="2">
        <v>85</v>
      </c>
      <c r="D36" s="2">
        <v>85</v>
      </c>
      <c r="E36" s="2">
        <v>93.33</v>
      </c>
      <c r="F36" s="2">
        <v>93.33</v>
      </c>
      <c r="G36" s="2">
        <v>73.33</v>
      </c>
      <c r="H36" s="2">
        <v>73.33</v>
      </c>
      <c r="I36" s="2">
        <v>95</v>
      </c>
      <c r="J36" s="2">
        <v>95</v>
      </c>
      <c r="K36" s="2">
        <v>83.33</v>
      </c>
      <c r="L36" s="2">
        <v>83.33</v>
      </c>
      <c r="M36" s="2">
        <v>85</v>
      </c>
      <c r="N36" s="2">
        <v>85</v>
      </c>
      <c r="O36" s="2">
        <v>81.67</v>
      </c>
      <c r="P36" s="2">
        <v>81.67</v>
      </c>
      <c r="Q36" s="2">
        <v>85</v>
      </c>
      <c r="R36" s="2">
        <v>85</v>
      </c>
      <c r="S36" s="2">
        <v>86.67</v>
      </c>
      <c r="T36" s="2">
        <v>86.67</v>
      </c>
      <c r="U36" s="2">
        <v>86.67</v>
      </c>
      <c r="V36" s="2">
        <v>86.67</v>
      </c>
      <c r="W36" s="2">
        <v>81.67</v>
      </c>
      <c r="X36" s="2">
        <v>81.67</v>
      </c>
    </row>
    <row r="37" spans="1:24" x14ac:dyDescent="0.45">
      <c r="A37" s="4" t="s">
        <v>122</v>
      </c>
      <c r="B37" s="2" t="s">
        <v>134</v>
      </c>
      <c r="C37" s="4"/>
      <c r="D37" s="4"/>
      <c r="E37" s="4"/>
      <c r="F37" s="4"/>
      <c r="G37" s="4"/>
      <c r="H37" s="4"/>
      <c r="I37" s="2">
        <v>93.33</v>
      </c>
      <c r="J37" s="2">
        <v>93.33</v>
      </c>
      <c r="K37" s="2">
        <v>90</v>
      </c>
      <c r="L37" s="2">
        <v>90</v>
      </c>
      <c r="M37" s="2">
        <v>85</v>
      </c>
      <c r="N37" s="2">
        <v>85</v>
      </c>
      <c r="O37" s="2">
        <v>85</v>
      </c>
      <c r="P37" s="2">
        <v>85</v>
      </c>
      <c r="Q37" s="2">
        <v>80</v>
      </c>
      <c r="R37" s="2">
        <v>80</v>
      </c>
      <c r="S37" s="2">
        <v>80</v>
      </c>
      <c r="T37" s="2">
        <v>80</v>
      </c>
      <c r="U37" s="2">
        <v>80</v>
      </c>
      <c r="V37" s="2">
        <v>80</v>
      </c>
      <c r="W37" s="2">
        <v>91.67</v>
      </c>
      <c r="X37" s="2">
        <v>91.67</v>
      </c>
    </row>
    <row r="38" spans="1:24" x14ac:dyDescent="0.45">
      <c r="A38" s="4" t="s">
        <v>122</v>
      </c>
      <c r="B38" s="2" t="s">
        <v>135</v>
      </c>
      <c r="C38" s="4"/>
      <c r="D38" s="4"/>
      <c r="E38" s="4"/>
      <c r="F38" s="4"/>
      <c r="G38" s="4"/>
      <c r="H38" s="4"/>
      <c r="I38" s="4"/>
      <c r="J38" s="4"/>
      <c r="K38" s="4"/>
      <c r="L38" s="4"/>
      <c r="M38" s="2">
        <v>93.33</v>
      </c>
      <c r="N38" s="2">
        <v>93.33</v>
      </c>
      <c r="O38" s="2">
        <v>98.33</v>
      </c>
      <c r="P38" s="2">
        <v>98.33</v>
      </c>
      <c r="Q38" s="2">
        <v>96.67</v>
      </c>
      <c r="R38" s="2">
        <v>96.67</v>
      </c>
      <c r="S38" s="2">
        <v>95</v>
      </c>
      <c r="T38" s="2">
        <v>95</v>
      </c>
      <c r="U38" s="2">
        <v>98.33</v>
      </c>
      <c r="V38" s="2">
        <v>98.33</v>
      </c>
      <c r="W38" s="2">
        <v>95</v>
      </c>
      <c r="X38" s="2">
        <v>95</v>
      </c>
    </row>
    <row r="39" spans="1:24" x14ac:dyDescent="0.45">
      <c r="A39" s="4" t="s">
        <v>122</v>
      </c>
      <c r="B39" s="2" t="s">
        <v>136</v>
      </c>
      <c r="C39" s="4"/>
      <c r="D39" s="4"/>
      <c r="E39" s="4"/>
      <c r="F39" s="4"/>
      <c r="G39" s="4"/>
      <c r="H39" s="4"/>
      <c r="I39" s="4"/>
      <c r="J39" s="4"/>
      <c r="K39" s="4"/>
      <c r="L39" s="4"/>
      <c r="M39" s="2">
        <v>88.33</v>
      </c>
      <c r="N39" s="2">
        <v>88.33</v>
      </c>
      <c r="O39" s="2"/>
      <c r="P39" s="2"/>
      <c r="Q39" s="2">
        <v>85</v>
      </c>
      <c r="R39" s="2">
        <v>85</v>
      </c>
      <c r="S39" s="2">
        <v>83.33</v>
      </c>
      <c r="T39" s="2">
        <v>83.33</v>
      </c>
      <c r="U39" s="2">
        <v>78.33</v>
      </c>
      <c r="V39" s="2">
        <v>78.33</v>
      </c>
      <c r="W39" s="2">
        <v>83.33</v>
      </c>
      <c r="X39" s="2">
        <v>83.33</v>
      </c>
    </row>
    <row r="40" spans="1:24" x14ac:dyDescent="0.45">
      <c r="A40" s="4" t="s">
        <v>122</v>
      </c>
      <c r="B40" s="4" t="s">
        <v>137</v>
      </c>
      <c r="C40" s="4"/>
      <c r="D40" s="4"/>
      <c r="E40" s="4"/>
      <c r="F40" s="4"/>
      <c r="G40" s="4"/>
      <c r="H40" s="4"/>
      <c r="I40" s="4"/>
      <c r="J40" s="4"/>
      <c r="K40" s="4"/>
      <c r="L40" s="4"/>
      <c r="M40" s="4"/>
      <c r="N40" s="4"/>
      <c r="O40" s="4"/>
      <c r="P40" s="4"/>
      <c r="Q40" s="4"/>
      <c r="R40" s="4"/>
      <c r="S40" s="4"/>
      <c r="T40" s="4"/>
      <c r="U40" s="4"/>
      <c r="V40" s="4"/>
      <c r="W40" s="4"/>
      <c r="X40" s="4"/>
    </row>
    <row r="41" spans="1:24" x14ac:dyDescent="0.45">
      <c r="A41" s="4" t="s">
        <v>122</v>
      </c>
      <c r="B41" s="4" t="s">
        <v>138</v>
      </c>
      <c r="C41" s="4"/>
      <c r="D41" s="4"/>
      <c r="E41" s="4"/>
      <c r="F41" s="4"/>
      <c r="G41" s="4"/>
      <c r="H41" s="4"/>
      <c r="I41" s="2">
        <v>96.67</v>
      </c>
      <c r="J41" s="2">
        <v>96.67</v>
      </c>
      <c r="K41" s="2">
        <v>98.33</v>
      </c>
      <c r="L41" s="2">
        <v>98.33</v>
      </c>
      <c r="M41" s="2">
        <v>100</v>
      </c>
      <c r="N41" s="2">
        <v>100</v>
      </c>
      <c r="O41" s="2">
        <v>91.67</v>
      </c>
      <c r="P41" s="2">
        <v>91.67</v>
      </c>
      <c r="Q41" s="2">
        <v>93.33</v>
      </c>
      <c r="R41" s="2">
        <v>93.33</v>
      </c>
      <c r="S41" s="2">
        <v>85</v>
      </c>
      <c r="T41" s="2">
        <v>85</v>
      </c>
      <c r="U41" s="2">
        <v>96.67</v>
      </c>
      <c r="V41" s="2">
        <v>96.67</v>
      </c>
      <c r="W41" s="2">
        <v>85</v>
      </c>
      <c r="X41" s="2">
        <v>85</v>
      </c>
    </row>
    <row r="42" spans="1:24" x14ac:dyDescent="0.45">
      <c r="A42" s="4" t="s">
        <v>122</v>
      </c>
      <c r="B42" s="4" t="s">
        <v>139</v>
      </c>
      <c r="C42" s="4"/>
      <c r="D42" s="4"/>
      <c r="E42" s="4"/>
      <c r="F42" s="4"/>
      <c r="G42" s="4"/>
      <c r="H42" s="4"/>
      <c r="I42" s="4"/>
      <c r="J42" s="4"/>
      <c r="K42" s="4"/>
      <c r="L42" s="4"/>
      <c r="M42" s="2">
        <v>88.33</v>
      </c>
      <c r="N42" s="2">
        <v>88.33</v>
      </c>
      <c r="O42" s="2">
        <v>65</v>
      </c>
      <c r="P42" s="2">
        <v>65</v>
      </c>
      <c r="Q42" s="2">
        <v>85</v>
      </c>
      <c r="R42" s="2">
        <v>85</v>
      </c>
      <c r="S42" s="2">
        <v>53.33</v>
      </c>
      <c r="T42" s="2">
        <v>53.33</v>
      </c>
      <c r="U42" s="2">
        <v>96.67</v>
      </c>
      <c r="V42" s="2">
        <v>96.67</v>
      </c>
      <c r="W42" s="2">
        <v>96.67</v>
      </c>
      <c r="X42" s="2">
        <v>96.67</v>
      </c>
    </row>
    <row r="43" spans="1:24" x14ac:dyDescent="0.45">
      <c r="A43" s="4" t="s">
        <v>122</v>
      </c>
      <c r="B43" s="4" t="s">
        <v>140</v>
      </c>
      <c r="C43" s="4">
        <v>85</v>
      </c>
      <c r="D43" s="4">
        <v>85</v>
      </c>
      <c r="E43" s="2">
        <v>81.67</v>
      </c>
      <c r="F43" s="2">
        <v>81.67</v>
      </c>
      <c r="G43" s="2">
        <v>93.33</v>
      </c>
      <c r="H43" s="2">
        <v>93.33</v>
      </c>
      <c r="I43" s="2">
        <v>96.67</v>
      </c>
      <c r="J43" s="2">
        <v>96.67</v>
      </c>
      <c r="K43" s="2">
        <v>91.67</v>
      </c>
      <c r="L43" s="2">
        <v>91.67</v>
      </c>
      <c r="M43" s="2">
        <v>95</v>
      </c>
      <c r="N43" s="2">
        <v>95</v>
      </c>
      <c r="O43" s="2">
        <v>81.67</v>
      </c>
      <c r="P43" s="2">
        <v>81.67</v>
      </c>
      <c r="Q43" s="2">
        <v>85</v>
      </c>
      <c r="R43" s="2">
        <v>85</v>
      </c>
      <c r="S43" s="2">
        <v>80</v>
      </c>
      <c r="T43" s="2">
        <v>80</v>
      </c>
      <c r="U43" s="2">
        <v>88.33</v>
      </c>
      <c r="V43" s="2">
        <v>88.33</v>
      </c>
      <c r="W43" s="2">
        <v>85</v>
      </c>
      <c r="X43" s="2">
        <v>85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BA41-1FD2-4ABC-AF59-D349203D9CC0}">
  <dimension ref="A1:X21"/>
  <sheetViews>
    <sheetView topLeftCell="G7" workbookViewId="0">
      <selection sqref="A1:X21"/>
    </sheetView>
  </sheetViews>
  <sheetFormatPr defaultRowHeight="18.5" customHeight="1" x14ac:dyDescent="0.45"/>
  <cols>
    <col min="1" max="1" width="9.23046875" style="9"/>
    <col min="2" max="2" width="9.84375" style="9" bestFit="1" customWidth="1"/>
    <col min="3" max="16384" width="9.23046875" style="9"/>
  </cols>
  <sheetData>
    <row r="1" spans="1:24" ht="18.5" customHeight="1" x14ac:dyDescent="0.45">
      <c r="A1" s="7" t="s">
        <v>141</v>
      </c>
      <c r="B1" s="7" t="s">
        <v>51</v>
      </c>
      <c r="C1" s="8">
        <v>68</v>
      </c>
      <c r="D1" s="8">
        <v>68</v>
      </c>
      <c r="E1" s="8">
        <v>87</v>
      </c>
      <c r="F1" s="8">
        <v>87</v>
      </c>
      <c r="G1" s="8">
        <v>87</v>
      </c>
      <c r="H1" s="8">
        <v>87</v>
      </c>
      <c r="I1" s="8">
        <v>81</v>
      </c>
      <c r="J1" s="8">
        <v>81</v>
      </c>
      <c r="K1" s="8">
        <v>81</v>
      </c>
      <c r="L1" s="8">
        <v>81</v>
      </c>
      <c r="M1" s="7"/>
      <c r="N1" s="7"/>
      <c r="O1" s="7"/>
      <c r="P1" s="7"/>
      <c r="Q1" s="7">
        <v>91</v>
      </c>
      <c r="R1" s="7">
        <v>91</v>
      </c>
      <c r="S1" s="7">
        <v>91</v>
      </c>
      <c r="T1" s="7">
        <v>91</v>
      </c>
      <c r="U1" s="7">
        <v>97</v>
      </c>
      <c r="V1" s="7">
        <v>97</v>
      </c>
      <c r="W1" s="7">
        <v>97</v>
      </c>
      <c r="X1" s="7">
        <v>97</v>
      </c>
    </row>
    <row r="2" spans="1:24" ht="18.5" customHeight="1" x14ac:dyDescent="0.45">
      <c r="A2" s="7" t="s">
        <v>141</v>
      </c>
      <c r="B2" s="7" t="s">
        <v>60</v>
      </c>
      <c r="C2" s="8">
        <v>75</v>
      </c>
      <c r="D2" s="8">
        <v>75</v>
      </c>
      <c r="E2" s="8">
        <v>84</v>
      </c>
      <c r="F2" s="8">
        <v>84</v>
      </c>
      <c r="G2" s="8">
        <v>84</v>
      </c>
      <c r="H2" s="8">
        <v>84</v>
      </c>
      <c r="I2" s="8">
        <v>93</v>
      </c>
      <c r="J2" s="8">
        <v>93</v>
      </c>
      <c r="K2" s="8">
        <v>93</v>
      </c>
      <c r="L2" s="8">
        <v>93</v>
      </c>
      <c r="M2" s="7"/>
      <c r="N2" s="7"/>
      <c r="O2" s="7"/>
      <c r="P2" s="7"/>
      <c r="Q2" s="7">
        <v>89</v>
      </c>
      <c r="R2" s="7">
        <v>89</v>
      </c>
      <c r="S2" s="7">
        <v>89</v>
      </c>
      <c r="T2" s="7">
        <v>89</v>
      </c>
      <c r="U2" s="7">
        <v>86</v>
      </c>
      <c r="V2" s="7">
        <v>86</v>
      </c>
      <c r="W2" s="7">
        <v>86</v>
      </c>
      <c r="X2" s="7">
        <v>86</v>
      </c>
    </row>
    <row r="3" spans="1:24" ht="18.5" customHeight="1" x14ac:dyDescent="0.45">
      <c r="A3" s="7" t="s">
        <v>141</v>
      </c>
      <c r="B3" s="7" t="s">
        <v>62</v>
      </c>
      <c r="C3" s="8">
        <v>97</v>
      </c>
      <c r="D3" s="8">
        <v>97</v>
      </c>
      <c r="E3" s="8">
        <v>83</v>
      </c>
      <c r="F3" s="8">
        <v>83</v>
      </c>
      <c r="G3" s="8">
        <v>83</v>
      </c>
      <c r="H3" s="8">
        <v>83</v>
      </c>
      <c r="I3" s="8">
        <v>83</v>
      </c>
      <c r="J3" s="8">
        <v>83</v>
      </c>
      <c r="K3" s="8">
        <v>83</v>
      </c>
      <c r="L3" s="8">
        <v>83</v>
      </c>
      <c r="M3" s="7">
        <v>80</v>
      </c>
      <c r="N3" s="7">
        <v>80</v>
      </c>
      <c r="O3" s="7">
        <v>80</v>
      </c>
      <c r="P3" s="7">
        <v>80</v>
      </c>
      <c r="Q3" s="7">
        <v>80</v>
      </c>
      <c r="R3" s="7">
        <v>80</v>
      </c>
      <c r="S3" s="7">
        <v>80</v>
      </c>
      <c r="T3" s="7">
        <v>80</v>
      </c>
      <c r="U3" s="7">
        <v>81</v>
      </c>
      <c r="V3" s="7">
        <v>81</v>
      </c>
      <c r="W3" s="7">
        <v>81</v>
      </c>
      <c r="X3" s="7">
        <v>81</v>
      </c>
    </row>
    <row r="4" spans="1:24" ht="18.5" customHeight="1" x14ac:dyDescent="0.45">
      <c r="A4" s="7" t="s">
        <v>141</v>
      </c>
      <c r="B4" s="7" t="s">
        <v>59</v>
      </c>
      <c r="C4" s="8">
        <v>98</v>
      </c>
      <c r="D4" s="8">
        <v>98</v>
      </c>
      <c r="E4" s="8">
        <v>81</v>
      </c>
      <c r="F4" s="8">
        <v>81</v>
      </c>
      <c r="G4" s="8">
        <v>81</v>
      </c>
      <c r="H4" s="8">
        <v>81</v>
      </c>
      <c r="I4" s="8">
        <v>80</v>
      </c>
      <c r="J4" s="8">
        <v>80</v>
      </c>
      <c r="K4" s="8">
        <v>80</v>
      </c>
      <c r="L4" s="8">
        <v>80</v>
      </c>
      <c r="M4" s="7">
        <v>85</v>
      </c>
      <c r="N4" s="7">
        <v>85</v>
      </c>
      <c r="O4" s="7">
        <v>85</v>
      </c>
      <c r="P4" s="7">
        <v>85</v>
      </c>
      <c r="Q4" s="7">
        <v>83</v>
      </c>
      <c r="R4" s="7">
        <v>83</v>
      </c>
      <c r="S4" s="7">
        <v>83</v>
      </c>
      <c r="T4" s="7">
        <v>83</v>
      </c>
      <c r="U4" s="7">
        <v>93</v>
      </c>
      <c r="V4" s="7">
        <v>93</v>
      </c>
      <c r="W4" s="7">
        <v>93</v>
      </c>
      <c r="X4" s="7">
        <v>93</v>
      </c>
    </row>
    <row r="5" spans="1:24" ht="18.5" customHeight="1" x14ac:dyDescent="0.45">
      <c r="A5" s="7" t="s">
        <v>141</v>
      </c>
      <c r="B5" s="7" t="s">
        <v>63</v>
      </c>
      <c r="C5" s="8">
        <v>93</v>
      </c>
      <c r="D5" s="8">
        <v>93</v>
      </c>
      <c r="E5" s="8">
        <v>94</v>
      </c>
      <c r="F5" s="8">
        <v>94</v>
      </c>
      <c r="G5" s="8">
        <v>94</v>
      </c>
      <c r="H5" s="8">
        <v>94</v>
      </c>
      <c r="I5" s="8">
        <v>81</v>
      </c>
      <c r="J5" s="8">
        <v>81</v>
      </c>
      <c r="K5" s="8">
        <v>81</v>
      </c>
      <c r="L5" s="8">
        <v>81</v>
      </c>
      <c r="M5" s="7"/>
      <c r="N5" s="7"/>
      <c r="O5" s="7"/>
      <c r="P5" s="7"/>
      <c r="Q5" s="7"/>
      <c r="R5" s="7"/>
      <c r="S5" s="7"/>
      <c r="T5" s="7"/>
      <c r="U5" s="7"/>
      <c r="V5" s="7"/>
      <c r="W5" s="7"/>
      <c r="X5" s="7"/>
    </row>
    <row r="6" spans="1:24" ht="18.5" customHeight="1" x14ac:dyDescent="0.45">
      <c r="A6" s="7" t="s">
        <v>141</v>
      </c>
      <c r="B6" s="7" t="s">
        <v>61</v>
      </c>
      <c r="C6" s="8">
        <v>93</v>
      </c>
      <c r="D6" s="8">
        <v>93</v>
      </c>
      <c r="E6" s="8">
        <v>93</v>
      </c>
      <c r="F6" s="8">
        <v>93</v>
      </c>
      <c r="G6" s="8">
        <v>93</v>
      </c>
      <c r="H6" s="8">
        <v>93</v>
      </c>
      <c r="I6" s="8">
        <v>86</v>
      </c>
      <c r="J6" s="8">
        <v>86</v>
      </c>
      <c r="K6" s="8">
        <v>86</v>
      </c>
      <c r="L6" s="8">
        <v>86</v>
      </c>
      <c r="M6" s="7">
        <v>88</v>
      </c>
      <c r="N6" s="7">
        <v>88</v>
      </c>
      <c r="O6" s="7">
        <v>88</v>
      </c>
      <c r="P6" s="7">
        <v>88</v>
      </c>
      <c r="Q6" s="7">
        <v>91</v>
      </c>
      <c r="R6" s="7">
        <v>91</v>
      </c>
      <c r="S6" s="7">
        <v>91</v>
      </c>
      <c r="T6" s="7">
        <v>91</v>
      </c>
      <c r="U6" s="7">
        <v>87</v>
      </c>
      <c r="V6" s="7">
        <v>87</v>
      </c>
      <c r="W6" s="7">
        <v>87</v>
      </c>
      <c r="X6" s="7">
        <v>87</v>
      </c>
    </row>
    <row r="7" spans="1:24" ht="18.5" customHeight="1" x14ac:dyDescent="0.45">
      <c r="A7" s="7" t="s">
        <v>141</v>
      </c>
      <c r="B7" s="7" t="s">
        <v>53</v>
      </c>
      <c r="C7" s="8">
        <v>75</v>
      </c>
      <c r="D7" s="8">
        <v>75</v>
      </c>
      <c r="E7" s="8">
        <v>80</v>
      </c>
      <c r="F7" s="8">
        <v>80</v>
      </c>
      <c r="G7" s="8">
        <v>80</v>
      </c>
      <c r="H7" s="8">
        <v>80</v>
      </c>
      <c r="I7" s="8">
        <v>84</v>
      </c>
      <c r="J7" s="8">
        <v>84</v>
      </c>
      <c r="K7" s="8">
        <v>84</v>
      </c>
      <c r="L7" s="8">
        <v>84</v>
      </c>
      <c r="M7" s="7">
        <v>78</v>
      </c>
      <c r="N7" s="7">
        <v>78</v>
      </c>
      <c r="O7" s="7">
        <v>78</v>
      </c>
      <c r="P7" s="7">
        <v>78</v>
      </c>
      <c r="Q7" s="7">
        <v>75</v>
      </c>
      <c r="R7" s="7">
        <v>75</v>
      </c>
      <c r="S7" s="7">
        <v>75</v>
      </c>
      <c r="T7" s="7">
        <v>75</v>
      </c>
      <c r="U7" s="7">
        <v>74</v>
      </c>
      <c r="V7" s="7">
        <v>74</v>
      </c>
      <c r="W7" s="7">
        <v>74</v>
      </c>
      <c r="X7" s="7">
        <v>74</v>
      </c>
    </row>
    <row r="8" spans="1:24" ht="18.5" customHeight="1" x14ac:dyDescent="0.45">
      <c r="A8" s="7" t="s">
        <v>141</v>
      </c>
      <c r="B8" s="7" t="s">
        <v>45</v>
      </c>
      <c r="C8" s="8">
        <v>76.67</v>
      </c>
      <c r="D8" s="8">
        <v>76.67</v>
      </c>
      <c r="E8" s="8">
        <v>88</v>
      </c>
      <c r="F8" s="8">
        <v>88</v>
      </c>
      <c r="G8" s="8">
        <v>88</v>
      </c>
      <c r="H8" s="8">
        <v>88</v>
      </c>
      <c r="I8" s="8" t="s">
        <v>123</v>
      </c>
      <c r="J8" s="8" t="s">
        <v>123</v>
      </c>
      <c r="K8" s="8" t="s">
        <v>123</v>
      </c>
      <c r="L8" s="8" t="s">
        <v>123</v>
      </c>
      <c r="M8" s="7">
        <v>84</v>
      </c>
      <c r="N8" s="7">
        <v>84</v>
      </c>
      <c r="O8" s="7">
        <v>84</v>
      </c>
      <c r="P8" s="7">
        <v>84</v>
      </c>
      <c r="Q8" s="7">
        <v>79</v>
      </c>
      <c r="R8" s="7">
        <v>79</v>
      </c>
      <c r="S8" s="7">
        <v>79</v>
      </c>
      <c r="T8" s="7">
        <v>79</v>
      </c>
      <c r="U8" s="7">
        <v>73</v>
      </c>
      <c r="V8" s="7">
        <v>73</v>
      </c>
      <c r="W8" s="7">
        <v>73</v>
      </c>
      <c r="X8" s="7">
        <v>73</v>
      </c>
    </row>
    <row r="9" spans="1:24" ht="18.5" customHeight="1" x14ac:dyDescent="0.45">
      <c r="A9" s="7" t="s">
        <v>141</v>
      </c>
      <c r="B9" s="7" t="s">
        <v>52</v>
      </c>
      <c r="C9" s="8">
        <v>95</v>
      </c>
      <c r="D9" s="8">
        <v>95</v>
      </c>
      <c r="E9" s="8">
        <v>98</v>
      </c>
      <c r="F9" s="8">
        <v>98</v>
      </c>
      <c r="G9" s="8">
        <v>98</v>
      </c>
      <c r="H9" s="8">
        <v>98</v>
      </c>
      <c r="I9" s="8">
        <v>100</v>
      </c>
      <c r="J9" s="8">
        <v>100</v>
      </c>
      <c r="K9" s="8">
        <v>100</v>
      </c>
      <c r="L9" s="8">
        <v>100</v>
      </c>
      <c r="M9" s="7">
        <v>99</v>
      </c>
      <c r="N9" s="7">
        <v>99</v>
      </c>
      <c r="O9" s="7">
        <v>99</v>
      </c>
      <c r="P9" s="7">
        <v>99</v>
      </c>
      <c r="Q9" s="7">
        <v>100</v>
      </c>
      <c r="R9" s="7">
        <v>100</v>
      </c>
      <c r="S9" s="7">
        <v>100</v>
      </c>
      <c r="T9" s="7">
        <v>100</v>
      </c>
      <c r="U9" s="7">
        <v>99</v>
      </c>
      <c r="V9" s="7">
        <v>99</v>
      </c>
      <c r="W9" s="7">
        <v>99</v>
      </c>
      <c r="X9" s="7">
        <v>99</v>
      </c>
    </row>
    <row r="10" spans="1:24" ht="18.5" customHeight="1" x14ac:dyDescent="0.45">
      <c r="A10" s="7" t="s">
        <v>141</v>
      </c>
      <c r="B10" s="7" t="s">
        <v>49</v>
      </c>
      <c r="C10" s="8">
        <v>56.67</v>
      </c>
      <c r="D10" s="8">
        <v>56.67</v>
      </c>
      <c r="E10" s="8">
        <v>82</v>
      </c>
      <c r="F10" s="8">
        <v>82</v>
      </c>
      <c r="G10" s="8">
        <v>82</v>
      </c>
      <c r="H10" s="8">
        <v>82</v>
      </c>
      <c r="I10" s="8">
        <v>89</v>
      </c>
      <c r="J10" s="8">
        <v>89</v>
      </c>
      <c r="K10" s="8">
        <v>89</v>
      </c>
      <c r="L10" s="8">
        <v>89</v>
      </c>
      <c r="M10" s="7">
        <v>80</v>
      </c>
      <c r="N10" s="7">
        <v>80</v>
      </c>
      <c r="O10" s="7">
        <v>80</v>
      </c>
      <c r="P10" s="7">
        <v>80</v>
      </c>
      <c r="Q10" s="7">
        <v>87</v>
      </c>
      <c r="R10" s="7">
        <v>87</v>
      </c>
      <c r="S10" s="7">
        <v>87</v>
      </c>
      <c r="T10" s="7">
        <v>87</v>
      </c>
      <c r="U10" s="7">
        <v>86</v>
      </c>
      <c r="V10" s="7">
        <v>86</v>
      </c>
      <c r="W10" s="7">
        <v>86</v>
      </c>
      <c r="X10" s="7">
        <v>86</v>
      </c>
    </row>
    <row r="11" spans="1:24" ht="18.5" customHeight="1" x14ac:dyDescent="0.45">
      <c r="A11" s="7" t="s">
        <v>141</v>
      </c>
      <c r="B11" s="7" t="s">
        <v>44</v>
      </c>
      <c r="C11" s="8">
        <v>96.67</v>
      </c>
      <c r="D11" s="8">
        <v>96.67</v>
      </c>
      <c r="E11" s="8">
        <v>94</v>
      </c>
      <c r="F11" s="8">
        <v>94</v>
      </c>
      <c r="G11" s="8">
        <v>94</v>
      </c>
      <c r="H11" s="8">
        <v>94</v>
      </c>
      <c r="I11" s="8">
        <v>84</v>
      </c>
      <c r="J11" s="8">
        <v>84</v>
      </c>
      <c r="K11" s="8">
        <v>84</v>
      </c>
      <c r="L11" s="8">
        <v>84</v>
      </c>
      <c r="M11" s="7">
        <v>83</v>
      </c>
      <c r="N11" s="7">
        <v>83</v>
      </c>
      <c r="O11" s="7">
        <v>83</v>
      </c>
      <c r="P11" s="7">
        <v>83</v>
      </c>
      <c r="Q11" s="7">
        <v>93</v>
      </c>
      <c r="R11" s="7">
        <v>93</v>
      </c>
      <c r="S11" s="7">
        <v>93</v>
      </c>
      <c r="T11" s="7">
        <v>93</v>
      </c>
      <c r="U11" s="7">
        <v>87</v>
      </c>
      <c r="V11" s="7">
        <v>87</v>
      </c>
      <c r="W11" s="7">
        <v>87</v>
      </c>
      <c r="X11" s="7">
        <v>87</v>
      </c>
    </row>
    <row r="12" spans="1:24" ht="18.5" customHeight="1" x14ac:dyDescent="0.45">
      <c r="A12" s="7" t="s">
        <v>141</v>
      </c>
      <c r="B12" s="7" t="s">
        <v>47</v>
      </c>
      <c r="C12" s="8">
        <v>83.33</v>
      </c>
      <c r="D12" s="8">
        <v>83.33</v>
      </c>
      <c r="E12" s="8">
        <v>82</v>
      </c>
      <c r="F12" s="8">
        <v>82</v>
      </c>
      <c r="G12" s="8">
        <v>82</v>
      </c>
      <c r="H12" s="8">
        <v>82</v>
      </c>
      <c r="I12" s="8">
        <v>90</v>
      </c>
      <c r="J12" s="8">
        <v>90</v>
      </c>
      <c r="K12" s="8">
        <v>90</v>
      </c>
      <c r="L12" s="8">
        <v>90</v>
      </c>
      <c r="M12" s="7">
        <v>87</v>
      </c>
      <c r="N12" s="7">
        <v>87</v>
      </c>
      <c r="O12" s="7">
        <v>87</v>
      </c>
      <c r="P12" s="7">
        <v>87</v>
      </c>
      <c r="Q12" s="7">
        <v>81</v>
      </c>
      <c r="R12" s="7">
        <v>81</v>
      </c>
      <c r="S12" s="7">
        <v>81</v>
      </c>
      <c r="T12" s="7">
        <v>81</v>
      </c>
      <c r="U12" s="7">
        <v>80</v>
      </c>
      <c r="V12" s="7">
        <v>80</v>
      </c>
      <c r="W12" s="7">
        <v>80</v>
      </c>
      <c r="X12" s="7">
        <v>80</v>
      </c>
    </row>
    <row r="13" spans="1:24" ht="18.5" customHeight="1" x14ac:dyDescent="0.45">
      <c r="A13" s="7" t="s">
        <v>141</v>
      </c>
      <c r="B13" s="7" t="s">
        <v>46</v>
      </c>
      <c r="C13" s="8">
        <v>86.67</v>
      </c>
      <c r="D13" s="8">
        <v>86.67</v>
      </c>
      <c r="E13" s="8">
        <v>88</v>
      </c>
      <c r="F13" s="8">
        <v>88</v>
      </c>
      <c r="G13" s="8">
        <v>88</v>
      </c>
      <c r="H13" s="8">
        <v>88</v>
      </c>
      <c r="I13" s="8">
        <v>88</v>
      </c>
      <c r="J13" s="8">
        <v>88</v>
      </c>
      <c r="K13" s="8">
        <v>88</v>
      </c>
      <c r="L13" s="8">
        <v>88</v>
      </c>
      <c r="M13" s="7">
        <v>95</v>
      </c>
      <c r="N13" s="7">
        <v>95</v>
      </c>
      <c r="O13" s="7">
        <v>95</v>
      </c>
      <c r="P13" s="7">
        <v>95</v>
      </c>
      <c r="Q13" s="7">
        <v>87</v>
      </c>
      <c r="R13" s="7">
        <v>87</v>
      </c>
      <c r="S13" s="7">
        <v>87</v>
      </c>
      <c r="T13" s="7">
        <v>87</v>
      </c>
      <c r="U13" s="7">
        <v>87</v>
      </c>
      <c r="V13" s="7">
        <v>87</v>
      </c>
      <c r="W13" s="7">
        <v>87</v>
      </c>
      <c r="X13" s="7">
        <v>87</v>
      </c>
    </row>
    <row r="14" spans="1:24" ht="18.5" customHeight="1" x14ac:dyDescent="0.45">
      <c r="A14" s="7" t="s">
        <v>141</v>
      </c>
      <c r="B14" s="7" t="s">
        <v>48</v>
      </c>
      <c r="C14" s="8">
        <v>100</v>
      </c>
      <c r="D14" s="8">
        <v>100</v>
      </c>
      <c r="E14" s="8">
        <v>98</v>
      </c>
      <c r="F14" s="8">
        <v>98</v>
      </c>
      <c r="G14" s="8">
        <v>98</v>
      </c>
      <c r="H14" s="8">
        <v>98</v>
      </c>
      <c r="I14" s="8">
        <v>96</v>
      </c>
      <c r="J14" s="8">
        <v>96</v>
      </c>
      <c r="K14" s="8">
        <v>96</v>
      </c>
      <c r="L14" s="8">
        <v>96</v>
      </c>
      <c r="M14" s="7">
        <v>89</v>
      </c>
      <c r="N14" s="7">
        <v>89</v>
      </c>
      <c r="O14" s="7">
        <v>89</v>
      </c>
      <c r="P14" s="7">
        <v>89</v>
      </c>
      <c r="Q14" s="7">
        <v>90</v>
      </c>
      <c r="R14" s="7">
        <v>90</v>
      </c>
      <c r="S14" s="7">
        <v>90</v>
      </c>
      <c r="T14" s="7">
        <v>90</v>
      </c>
      <c r="U14" s="7">
        <v>96</v>
      </c>
      <c r="V14" s="7">
        <v>96</v>
      </c>
      <c r="W14" s="7">
        <v>96</v>
      </c>
      <c r="X14" s="7">
        <v>96</v>
      </c>
    </row>
    <row r="15" spans="1:24" ht="18.5" customHeight="1" x14ac:dyDescent="0.45">
      <c r="A15" s="7" t="s">
        <v>141</v>
      </c>
      <c r="B15" s="8" t="s">
        <v>142</v>
      </c>
      <c r="C15" s="8">
        <v>86.67</v>
      </c>
      <c r="D15" s="8">
        <v>86.67</v>
      </c>
      <c r="E15" s="8">
        <v>88.33</v>
      </c>
      <c r="F15" s="8">
        <v>88.33</v>
      </c>
      <c r="G15" s="8">
        <v>88.33</v>
      </c>
      <c r="H15" s="8">
        <v>88.33</v>
      </c>
      <c r="I15" s="8">
        <v>86.67</v>
      </c>
      <c r="J15" s="8">
        <v>86.67</v>
      </c>
      <c r="K15" s="8" t="s">
        <v>123</v>
      </c>
      <c r="L15" s="8" t="s">
        <v>123</v>
      </c>
      <c r="M15" s="8">
        <v>75</v>
      </c>
      <c r="N15" s="8">
        <v>75</v>
      </c>
      <c r="O15" s="8">
        <v>91.67</v>
      </c>
      <c r="P15" s="8">
        <v>91.67</v>
      </c>
      <c r="Q15" s="8">
        <v>90</v>
      </c>
      <c r="R15" s="8">
        <v>90</v>
      </c>
      <c r="S15" s="8">
        <v>95</v>
      </c>
      <c r="T15" s="8" t="s">
        <v>143</v>
      </c>
      <c r="U15" s="8">
        <v>68.33</v>
      </c>
      <c r="V15" s="8">
        <v>68.33</v>
      </c>
      <c r="W15" s="8">
        <v>83.33</v>
      </c>
      <c r="X15" s="8">
        <v>83.33</v>
      </c>
    </row>
    <row r="16" spans="1:24" ht="18.5" customHeight="1" x14ac:dyDescent="0.45">
      <c r="A16" s="7" t="s">
        <v>141</v>
      </c>
      <c r="B16" s="8" t="s">
        <v>144</v>
      </c>
      <c r="C16" s="8">
        <v>66.67</v>
      </c>
      <c r="D16" s="8">
        <v>66.67</v>
      </c>
      <c r="E16" s="8" t="s">
        <v>123</v>
      </c>
      <c r="F16" s="8" t="s">
        <v>123</v>
      </c>
      <c r="G16" s="8">
        <v>68.33</v>
      </c>
      <c r="H16" s="8">
        <v>68.33</v>
      </c>
      <c r="I16" s="8">
        <v>41.67</v>
      </c>
      <c r="J16" s="8">
        <v>41.67</v>
      </c>
      <c r="K16" s="8">
        <v>53.33</v>
      </c>
      <c r="L16" s="8">
        <v>53.33</v>
      </c>
      <c r="M16" s="8">
        <v>16.670000000000002</v>
      </c>
      <c r="N16" s="8">
        <v>16.670000000000002</v>
      </c>
      <c r="O16" s="8">
        <v>71.67</v>
      </c>
      <c r="P16" s="8">
        <v>71.67</v>
      </c>
      <c r="Q16" s="8" t="s">
        <v>123</v>
      </c>
      <c r="R16" s="8" t="s">
        <v>123</v>
      </c>
      <c r="S16" s="8" t="s">
        <v>143</v>
      </c>
      <c r="T16" s="8">
        <v>23.33</v>
      </c>
      <c r="U16" s="8">
        <v>30</v>
      </c>
      <c r="V16" s="8">
        <v>30</v>
      </c>
      <c r="W16" s="8">
        <v>21.67</v>
      </c>
      <c r="X16" s="8">
        <v>21.67</v>
      </c>
    </row>
    <row r="17" spans="1:24" ht="18.5" customHeight="1" x14ac:dyDescent="0.45">
      <c r="A17" s="7" t="s">
        <v>141</v>
      </c>
      <c r="B17" s="8" t="s">
        <v>145</v>
      </c>
      <c r="C17" s="8">
        <v>95</v>
      </c>
      <c r="D17" s="8">
        <v>95</v>
      </c>
      <c r="E17" s="8">
        <v>95</v>
      </c>
      <c r="F17" s="8">
        <v>95</v>
      </c>
      <c r="G17" s="8">
        <v>93.33</v>
      </c>
      <c r="H17" s="8">
        <v>93.33</v>
      </c>
      <c r="I17" s="8">
        <v>98.33</v>
      </c>
      <c r="J17" s="8">
        <v>98.33</v>
      </c>
      <c r="K17" s="8">
        <v>98.33</v>
      </c>
      <c r="L17" s="8">
        <v>98.33</v>
      </c>
      <c r="M17" s="8">
        <v>88.33</v>
      </c>
      <c r="N17" s="8">
        <v>88.33</v>
      </c>
      <c r="O17" s="8">
        <v>100</v>
      </c>
      <c r="P17" s="8">
        <v>100</v>
      </c>
      <c r="Q17" s="8">
        <v>100</v>
      </c>
      <c r="R17" s="8">
        <v>100</v>
      </c>
      <c r="S17" s="8">
        <v>83.33</v>
      </c>
      <c r="T17" s="8">
        <v>95</v>
      </c>
      <c r="U17" s="8">
        <v>98.33</v>
      </c>
      <c r="V17" s="8">
        <v>98.33</v>
      </c>
      <c r="W17" s="8">
        <v>100</v>
      </c>
      <c r="X17" s="8">
        <v>100</v>
      </c>
    </row>
    <row r="18" spans="1:24" ht="18.5" customHeight="1" x14ac:dyDescent="0.45">
      <c r="A18" s="7" t="s">
        <v>141</v>
      </c>
      <c r="B18" s="8" t="s">
        <v>146</v>
      </c>
      <c r="C18" s="8">
        <v>93.33</v>
      </c>
      <c r="D18" s="8">
        <v>93.33</v>
      </c>
      <c r="E18" s="8">
        <v>85</v>
      </c>
      <c r="F18" s="8">
        <v>85</v>
      </c>
      <c r="G18" s="8">
        <v>91.67</v>
      </c>
      <c r="H18" s="8">
        <v>91.67</v>
      </c>
      <c r="I18" s="8">
        <v>95</v>
      </c>
      <c r="J18" s="8">
        <v>95</v>
      </c>
      <c r="K18" s="8">
        <v>93.33</v>
      </c>
      <c r="L18" s="8">
        <v>93.33</v>
      </c>
      <c r="M18" s="8">
        <v>90</v>
      </c>
      <c r="N18" s="8">
        <v>90</v>
      </c>
      <c r="O18" s="8">
        <v>78.33</v>
      </c>
      <c r="P18" s="8">
        <v>78.33</v>
      </c>
      <c r="Q18" s="8">
        <v>95</v>
      </c>
      <c r="R18" s="8">
        <v>95</v>
      </c>
      <c r="S18" s="8">
        <v>83.33</v>
      </c>
      <c r="T18" s="8">
        <v>76.67</v>
      </c>
      <c r="U18" s="8">
        <v>68.33</v>
      </c>
      <c r="V18" s="8">
        <v>68.33</v>
      </c>
      <c r="W18" s="8">
        <v>85</v>
      </c>
      <c r="X18" s="8">
        <v>85</v>
      </c>
    </row>
    <row r="19" spans="1:24" ht="18.5" customHeight="1" x14ac:dyDescent="0.45">
      <c r="A19" s="7" t="s">
        <v>141</v>
      </c>
      <c r="B19" s="8" t="s">
        <v>147</v>
      </c>
      <c r="C19" s="8">
        <v>86.67</v>
      </c>
      <c r="D19" s="8">
        <v>86.67</v>
      </c>
      <c r="E19" s="8">
        <v>95</v>
      </c>
      <c r="F19" s="8">
        <v>95</v>
      </c>
      <c r="G19" s="8">
        <v>100</v>
      </c>
      <c r="H19" s="8">
        <v>100</v>
      </c>
      <c r="I19" s="8">
        <v>100</v>
      </c>
      <c r="J19" s="8">
        <v>100</v>
      </c>
      <c r="K19" s="8">
        <v>100</v>
      </c>
      <c r="L19" s="8">
        <v>100</v>
      </c>
      <c r="M19" s="8">
        <v>93.33</v>
      </c>
      <c r="N19" s="8">
        <v>93.33</v>
      </c>
      <c r="O19" s="8">
        <v>100</v>
      </c>
      <c r="P19" s="8">
        <v>100</v>
      </c>
      <c r="Q19" s="8">
        <v>96.67</v>
      </c>
      <c r="R19" s="8">
        <v>96.67</v>
      </c>
      <c r="S19" s="8">
        <v>95</v>
      </c>
      <c r="T19" s="8">
        <v>96.67</v>
      </c>
      <c r="U19" s="8">
        <v>96.67</v>
      </c>
      <c r="V19" s="8">
        <v>96.67</v>
      </c>
      <c r="W19" s="8">
        <v>98.33</v>
      </c>
      <c r="X19" s="8">
        <v>98.33</v>
      </c>
    </row>
    <row r="20" spans="1:24" ht="18.5" customHeight="1" x14ac:dyDescent="0.45">
      <c r="A20" s="7" t="s">
        <v>141</v>
      </c>
      <c r="B20" s="8" t="s">
        <v>148</v>
      </c>
      <c r="C20" s="7"/>
      <c r="D20" s="7"/>
      <c r="E20" s="7"/>
      <c r="F20" s="7"/>
      <c r="G20" s="7"/>
      <c r="H20" s="7"/>
      <c r="I20" s="7"/>
      <c r="J20" s="7"/>
      <c r="K20" s="8">
        <v>20</v>
      </c>
      <c r="L20" s="8">
        <v>20</v>
      </c>
      <c r="M20" s="8">
        <v>33.33</v>
      </c>
      <c r="N20" s="8">
        <v>33.33</v>
      </c>
      <c r="O20" s="8">
        <v>38.33</v>
      </c>
      <c r="P20" s="8">
        <v>38.33</v>
      </c>
      <c r="Q20" s="8">
        <v>25</v>
      </c>
      <c r="R20" s="8">
        <v>25</v>
      </c>
      <c r="S20" s="8">
        <v>31.67</v>
      </c>
      <c r="T20" s="8">
        <v>83.33</v>
      </c>
      <c r="U20" s="8">
        <v>75</v>
      </c>
      <c r="V20" s="8">
        <v>75</v>
      </c>
      <c r="W20" s="8">
        <v>33.33</v>
      </c>
      <c r="X20" s="8">
        <v>33.33</v>
      </c>
    </row>
    <row r="21" spans="1:24" ht="18.5" customHeight="1" x14ac:dyDescent="0.45">
      <c r="A21" s="7" t="s">
        <v>141</v>
      </c>
      <c r="B21" s="8" t="s">
        <v>149</v>
      </c>
      <c r="C21" s="7"/>
      <c r="D21" s="7"/>
      <c r="E21" s="7"/>
      <c r="F21" s="7"/>
      <c r="G21" s="7"/>
      <c r="H21" s="7"/>
      <c r="I21" s="7"/>
      <c r="J21" s="10"/>
      <c r="K21" s="7"/>
      <c r="L21" s="10"/>
      <c r="M21" s="7"/>
      <c r="N21" s="10"/>
      <c r="O21" s="7"/>
      <c r="P21" s="7"/>
      <c r="Q21" s="7"/>
      <c r="R21" s="7"/>
      <c r="S21" s="7"/>
      <c r="T21" s="8">
        <v>75</v>
      </c>
      <c r="U21" s="8">
        <v>45</v>
      </c>
      <c r="V21" s="8">
        <v>45</v>
      </c>
      <c r="W21" s="8">
        <v>86.67</v>
      </c>
      <c r="X21" s="8">
        <v>86.67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F233-91C6-4E0B-8813-63D893AF3ABA}">
  <dimension ref="A1:X28"/>
  <sheetViews>
    <sheetView workbookViewId="0">
      <selection sqref="A1:X28"/>
    </sheetView>
  </sheetViews>
  <sheetFormatPr defaultRowHeight="17.5" x14ac:dyDescent="0.45"/>
  <cols>
    <col min="1" max="1" width="4.3046875" style="1" bestFit="1" customWidth="1"/>
    <col min="2" max="2" width="9.84375" style="1" bestFit="1" customWidth="1"/>
    <col min="3" max="24" width="5.15234375" style="1" bestFit="1" customWidth="1"/>
    <col min="25" max="16384" width="9.23046875" style="1"/>
  </cols>
  <sheetData>
    <row r="1" spans="1:24" x14ac:dyDescent="0.45">
      <c r="A1" s="11" t="s">
        <v>150</v>
      </c>
      <c r="B1" s="12" t="s">
        <v>151</v>
      </c>
      <c r="C1" s="12">
        <v>70</v>
      </c>
      <c r="D1" s="12">
        <v>70</v>
      </c>
      <c r="E1" s="12">
        <v>30</v>
      </c>
      <c r="F1" s="12">
        <v>30</v>
      </c>
      <c r="G1" s="12">
        <v>67.5</v>
      </c>
      <c r="H1" s="12">
        <v>67.5</v>
      </c>
      <c r="I1" s="12">
        <v>87.5</v>
      </c>
      <c r="J1" s="12">
        <v>87.5</v>
      </c>
      <c r="K1" s="12">
        <v>87.5</v>
      </c>
      <c r="L1" s="12">
        <v>87.5</v>
      </c>
      <c r="M1" s="12"/>
      <c r="N1" s="12"/>
      <c r="O1" s="12">
        <v>37.5</v>
      </c>
      <c r="P1" s="12">
        <v>37.5</v>
      </c>
      <c r="Q1" s="12">
        <v>72.5</v>
      </c>
      <c r="R1" s="12">
        <v>72.5</v>
      </c>
      <c r="S1" s="12">
        <v>55</v>
      </c>
      <c r="T1" s="12">
        <v>55</v>
      </c>
      <c r="U1" s="12">
        <v>93.75</v>
      </c>
      <c r="V1" s="12">
        <v>93.75</v>
      </c>
      <c r="W1" s="12">
        <v>72.5</v>
      </c>
      <c r="X1" s="12">
        <v>72.5</v>
      </c>
    </row>
    <row r="2" spans="1:24" x14ac:dyDescent="0.45">
      <c r="A2" s="11" t="s">
        <v>150</v>
      </c>
      <c r="B2" s="12" t="s">
        <v>152</v>
      </c>
      <c r="C2" s="12">
        <v>70</v>
      </c>
      <c r="D2" s="12">
        <v>70</v>
      </c>
      <c r="E2" s="12">
        <v>76.25</v>
      </c>
      <c r="F2" s="12">
        <v>76.25</v>
      </c>
      <c r="G2" s="12">
        <v>71.25</v>
      </c>
      <c r="H2" s="12">
        <v>71.25</v>
      </c>
      <c r="I2" s="12">
        <v>90</v>
      </c>
      <c r="J2" s="12">
        <v>90</v>
      </c>
      <c r="K2" s="12">
        <v>88.75</v>
      </c>
      <c r="L2" s="12">
        <v>88.75</v>
      </c>
      <c r="M2" s="12">
        <v>43.75</v>
      </c>
      <c r="N2" s="12">
        <v>43.75</v>
      </c>
      <c r="O2" s="12">
        <v>52.5</v>
      </c>
      <c r="P2" s="12">
        <v>52.5</v>
      </c>
      <c r="Q2" s="12">
        <v>91.25</v>
      </c>
      <c r="R2" s="12">
        <v>91.25</v>
      </c>
      <c r="S2" s="12">
        <v>92.5</v>
      </c>
      <c r="T2" s="12">
        <v>92.5</v>
      </c>
      <c r="U2" s="12">
        <v>92.5</v>
      </c>
      <c r="V2" s="12">
        <v>92.5</v>
      </c>
      <c r="W2" s="12">
        <v>91.25</v>
      </c>
      <c r="X2" s="12">
        <v>91.25</v>
      </c>
    </row>
    <row r="3" spans="1:24" x14ac:dyDescent="0.45">
      <c r="A3" s="11" t="s">
        <v>150</v>
      </c>
      <c r="B3" s="12" t="s">
        <v>153</v>
      </c>
      <c r="C3" s="12">
        <v>90</v>
      </c>
      <c r="D3" s="12">
        <v>90</v>
      </c>
      <c r="E3" s="12">
        <v>91.25</v>
      </c>
      <c r="F3" s="12">
        <v>91.25</v>
      </c>
      <c r="G3" s="12">
        <v>98.75</v>
      </c>
      <c r="H3" s="12">
        <v>98.75</v>
      </c>
      <c r="I3" s="12">
        <v>93.75</v>
      </c>
      <c r="J3" s="12">
        <v>93.75</v>
      </c>
      <c r="K3" s="12">
        <v>93.75</v>
      </c>
      <c r="L3" s="12">
        <v>93.75</v>
      </c>
      <c r="M3" s="12">
        <v>96.25</v>
      </c>
      <c r="N3" s="12">
        <v>96.25</v>
      </c>
      <c r="O3" s="12">
        <v>93.75</v>
      </c>
      <c r="P3" s="12">
        <v>93.75</v>
      </c>
      <c r="Q3" s="12">
        <v>96.25</v>
      </c>
      <c r="R3" s="12">
        <v>96.25</v>
      </c>
      <c r="S3" s="12">
        <v>97.5</v>
      </c>
      <c r="T3" s="12">
        <v>97.5</v>
      </c>
      <c r="U3" s="12">
        <v>95</v>
      </c>
      <c r="V3" s="12">
        <v>95</v>
      </c>
      <c r="W3" s="12">
        <v>96.25</v>
      </c>
      <c r="X3" s="12">
        <v>96.25</v>
      </c>
    </row>
    <row r="4" spans="1:24" x14ac:dyDescent="0.45">
      <c r="A4" s="11" t="s">
        <v>150</v>
      </c>
      <c r="B4" s="12" t="s">
        <v>154</v>
      </c>
      <c r="C4" s="12">
        <v>51.25</v>
      </c>
      <c r="D4" s="12">
        <v>51.25</v>
      </c>
      <c r="E4" s="12">
        <v>87.5</v>
      </c>
      <c r="F4" s="12">
        <v>87.5</v>
      </c>
      <c r="G4" s="12">
        <v>48.75</v>
      </c>
      <c r="H4" s="12">
        <v>48.75</v>
      </c>
      <c r="I4" s="12">
        <v>88.75</v>
      </c>
      <c r="J4" s="12">
        <v>88.75</v>
      </c>
      <c r="K4" s="12">
        <v>58.75</v>
      </c>
      <c r="L4" s="12">
        <v>58.75</v>
      </c>
      <c r="M4" s="12">
        <v>80</v>
      </c>
      <c r="N4" s="12">
        <v>80</v>
      </c>
      <c r="O4" s="12">
        <v>40</v>
      </c>
      <c r="P4" s="12">
        <v>40</v>
      </c>
      <c r="Q4" s="12">
        <v>90</v>
      </c>
      <c r="R4" s="12">
        <v>90</v>
      </c>
      <c r="S4" s="12">
        <v>78.75</v>
      </c>
      <c r="T4" s="12">
        <v>78.75</v>
      </c>
      <c r="U4" s="12">
        <v>68.75</v>
      </c>
      <c r="V4" s="12">
        <v>68.75</v>
      </c>
      <c r="W4" s="12">
        <v>90</v>
      </c>
      <c r="X4" s="12">
        <v>90</v>
      </c>
    </row>
    <row r="5" spans="1:24" x14ac:dyDescent="0.45">
      <c r="A5" s="11" t="s">
        <v>150</v>
      </c>
      <c r="B5" s="12" t="s">
        <v>155</v>
      </c>
      <c r="C5" s="12">
        <v>90</v>
      </c>
      <c r="D5" s="12">
        <v>90</v>
      </c>
      <c r="E5" s="12">
        <v>72.5</v>
      </c>
      <c r="F5" s="12">
        <v>72.5</v>
      </c>
      <c r="G5" s="12">
        <v>91.25</v>
      </c>
      <c r="H5" s="12">
        <v>91.25</v>
      </c>
      <c r="I5" s="12">
        <v>87.5</v>
      </c>
      <c r="J5" s="12">
        <v>87.5</v>
      </c>
      <c r="K5" s="12">
        <v>87.5</v>
      </c>
      <c r="L5" s="12">
        <v>87.5</v>
      </c>
      <c r="M5" s="12">
        <v>85</v>
      </c>
      <c r="N5" s="12">
        <v>85</v>
      </c>
      <c r="O5" s="12">
        <v>88.75</v>
      </c>
      <c r="P5" s="12">
        <v>88.75</v>
      </c>
      <c r="Q5" s="12">
        <v>90</v>
      </c>
      <c r="R5" s="12">
        <v>90</v>
      </c>
      <c r="S5" s="12">
        <v>96.25</v>
      </c>
      <c r="T5" s="12">
        <v>96.25</v>
      </c>
      <c r="U5" s="12">
        <v>92.5</v>
      </c>
      <c r="V5" s="12">
        <v>92.5</v>
      </c>
      <c r="W5" s="12">
        <v>90</v>
      </c>
      <c r="X5" s="12">
        <v>90</v>
      </c>
    </row>
    <row r="6" spans="1:24" x14ac:dyDescent="0.45">
      <c r="A6" s="11" t="s">
        <v>150</v>
      </c>
      <c r="B6" s="12" t="s">
        <v>156</v>
      </c>
      <c r="C6" s="11"/>
      <c r="D6" s="11"/>
      <c r="E6" s="12">
        <v>90</v>
      </c>
      <c r="F6" s="12">
        <v>90</v>
      </c>
      <c r="G6" s="12">
        <v>98.75</v>
      </c>
      <c r="H6" s="12">
        <v>98.75</v>
      </c>
      <c r="I6" s="12">
        <v>100</v>
      </c>
      <c r="J6" s="12">
        <v>100</v>
      </c>
      <c r="K6" s="12">
        <v>100</v>
      </c>
      <c r="L6" s="12">
        <v>100</v>
      </c>
      <c r="M6" s="12">
        <v>100</v>
      </c>
      <c r="N6" s="12">
        <v>100</v>
      </c>
      <c r="O6" s="12">
        <v>100</v>
      </c>
      <c r="P6" s="12">
        <v>100</v>
      </c>
      <c r="Q6" s="12">
        <v>98.75</v>
      </c>
      <c r="R6" s="12">
        <v>98.75</v>
      </c>
      <c r="S6" s="12">
        <v>100</v>
      </c>
      <c r="T6" s="12">
        <v>100</v>
      </c>
      <c r="U6" s="12">
        <v>100</v>
      </c>
      <c r="V6" s="12">
        <v>100</v>
      </c>
      <c r="W6" s="12">
        <v>98.75</v>
      </c>
      <c r="X6" s="12">
        <v>98.75</v>
      </c>
    </row>
    <row r="7" spans="1:24" x14ac:dyDescent="0.45">
      <c r="A7" s="11" t="s">
        <v>150</v>
      </c>
      <c r="B7" s="11" t="s">
        <v>157</v>
      </c>
      <c r="C7" s="11"/>
      <c r="D7" s="11"/>
      <c r="E7" s="11"/>
      <c r="F7" s="11"/>
      <c r="G7" s="11"/>
      <c r="H7" s="11"/>
      <c r="I7" s="11"/>
      <c r="J7" s="11"/>
      <c r="K7" s="11"/>
      <c r="L7" s="11"/>
      <c r="M7" s="11"/>
      <c r="N7" s="11"/>
      <c r="O7" s="11"/>
      <c r="P7" s="11"/>
      <c r="Q7" s="12">
        <v>40</v>
      </c>
      <c r="R7" s="12">
        <v>40</v>
      </c>
      <c r="S7" s="12">
        <v>93.75</v>
      </c>
      <c r="T7" s="12">
        <v>93.75</v>
      </c>
      <c r="U7" s="12">
        <v>98.75</v>
      </c>
      <c r="V7" s="12">
        <v>98.75</v>
      </c>
      <c r="W7" s="12">
        <v>40</v>
      </c>
      <c r="X7" s="12">
        <v>40</v>
      </c>
    </row>
    <row r="8" spans="1:24" x14ac:dyDescent="0.45">
      <c r="A8" s="11" t="s">
        <v>150</v>
      </c>
      <c r="B8" s="12" t="s">
        <v>98</v>
      </c>
      <c r="C8" s="12">
        <v>97.5</v>
      </c>
      <c r="D8" s="12">
        <v>97.5</v>
      </c>
      <c r="E8" s="12">
        <v>85</v>
      </c>
      <c r="F8" s="12">
        <v>85</v>
      </c>
      <c r="G8" s="12">
        <v>85</v>
      </c>
      <c r="H8" s="12">
        <v>85</v>
      </c>
      <c r="I8" s="12">
        <v>78</v>
      </c>
      <c r="J8" s="12">
        <v>78</v>
      </c>
      <c r="K8" s="12">
        <v>78</v>
      </c>
      <c r="L8" s="12">
        <v>78</v>
      </c>
      <c r="M8" s="12">
        <v>93</v>
      </c>
      <c r="N8" s="12">
        <v>93</v>
      </c>
      <c r="O8" s="12">
        <v>93</v>
      </c>
      <c r="P8" s="12">
        <v>93</v>
      </c>
      <c r="Q8" s="12">
        <v>80</v>
      </c>
      <c r="R8" s="12">
        <v>80</v>
      </c>
      <c r="S8" s="12">
        <v>80</v>
      </c>
      <c r="T8" s="12">
        <v>80</v>
      </c>
      <c r="U8" s="12">
        <v>80</v>
      </c>
      <c r="V8" s="12">
        <v>80</v>
      </c>
      <c r="W8" s="12">
        <v>80</v>
      </c>
      <c r="X8" s="12">
        <v>80</v>
      </c>
    </row>
    <row r="9" spans="1:24" x14ac:dyDescent="0.45">
      <c r="A9" s="11" t="s">
        <v>150</v>
      </c>
      <c r="B9" s="12" t="s">
        <v>89</v>
      </c>
      <c r="C9" s="12">
        <v>80</v>
      </c>
      <c r="D9" s="12">
        <v>80</v>
      </c>
      <c r="E9" s="12">
        <v>87</v>
      </c>
      <c r="F9" s="12">
        <v>87</v>
      </c>
      <c r="G9" s="12">
        <v>87</v>
      </c>
      <c r="H9" s="12">
        <v>87</v>
      </c>
      <c r="I9" s="12">
        <v>92</v>
      </c>
      <c r="J9" s="12">
        <v>92</v>
      </c>
      <c r="K9" s="12">
        <v>92</v>
      </c>
      <c r="L9" s="12">
        <v>92</v>
      </c>
      <c r="M9" s="12">
        <v>87</v>
      </c>
      <c r="N9" s="12">
        <v>87</v>
      </c>
      <c r="O9" s="12">
        <v>87</v>
      </c>
      <c r="P9" s="12">
        <v>87</v>
      </c>
      <c r="Q9" s="13"/>
      <c r="R9" s="13"/>
      <c r="S9" s="13"/>
      <c r="T9" s="13"/>
      <c r="U9" s="12">
        <v>87</v>
      </c>
      <c r="V9" s="12">
        <v>87</v>
      </c>
      <c r="W9" s="12">
        <v>87</v>
      </c>
      <c r="X9" s="12">
        <v>87</v>
      </c>
    </row>
    <row r="10" spans="1:24" x14ac:dyDescent="0.45">
      <c r="A10" s="11" t="s">
        <v>150</v>
      </c>
      <c r="B10" s="12" t="s">
        <v>93</v>
      </c>
      <c r="C10" s="12">
        <v>80</v>
      </c>
      <c r="D10" s="12">
        <v>80</v>
      </c>
      <c r="E10" s="12">
        <v>59</v>
      </c>
      <c r="F10" s="12">
        <v>59</v>
      </c>
      <c r="G10" s="12">
        <v>59</v>
      </c>
      <c r="H10" s="12">
        <v>59</v>
      </c>
      <c r="I10" s="12">
        <v>79</v>
      </c>
      <c r="J10" s="12">
        <v>79</v>
      </c>
      <c r="K10" s="12">
        <v>79</v>
      </c>
      <c r="L10" s="12">
        <v>79</v>
      </c>
      <c r="M10" s="12">
        <v>91</v>
      </c>
      <c r="N10" s="12">
        <v>91</v>
      </c>
      <c r="O10" s="12">
        <v>91</v>
      </c>
      <c r="P10" s="12">
        <v>91</v>
      </c>
      <c r="Q10" s="12">
        <v>87</v>
      </c>
      <c r="R10" s="12">
        <v>87</v>
      </c>
      <c r="S10" s="12">
        <v>87</v>
      </c>
      <c r="T10" s="12">
        <v>87</v>
      </c>
      <c r="U10" s="12">
        <v>81</v>
      </c>
      <c r="V10" s="12">
        <v>81</v>
      </c>
      <c r="W10" s="12">
        <v>81</v>
      </c>
      <c r="X10" s="12">
        <v>81</v>
      </c>
    </row>
    <row r="11" spans="1:24" x14ac:dyDescent="0.45">
      <c r="A11" s="11" t="s">
        <v>150</v>
      </c>
      <c r="B11" s="12" t="s">
        <v>86</v>
      </c>
      <c r="C11" s="12">
        <v>60</v>
      </c>
      <c r="D11" s="12">
        <v>60</v>
      </c>
      <c r="E11" s="12">
        <v>43</v>
      </c>
      <c r="F11" s="12">
        <v>43</v>
      </c>
      <c r="G11" s="12">
        <v>43</v>
      </c>
      <c r="H11" s="12">
        <v>43</v>
      </c>
      <c r="I11" s="12">
        <v>69</v>
      </c>
      <c r="J11" s="12">
        <v>69</v>
      </c>
      <c r="K11" s="12">
        <v>69</v>
      </c>
      <c r="L11" s="12">
        <v>69</v>
      </c>
      <c r="M11" s="12">
        <v>82</v>
      </c>
      <c r="N11" s="12">
        <v>82</v>
      </c>
      <c r="O11" s="12">
        <v>82</v>
      </c>
      <c r="P11" s="12">
        <v>82</v>
      </c>
      <c r="Q11" s="12">
        <v>90</v>
      </c>
      <c r="R11" s="12">
        <v>90</v>
      </c>
      <c r="S11" s="12">
        <v>90</v>
      </c>
      <c r="T11" s="12">
        <v>90</v>
      </c>
      <c r="U11" s="12">
        <v>81</v>
      </c>
      <c r="V11" s="12">
        <v>81</v>
      </c>
      <c r="W11" s="12">
        <v>81</v>
      </c>
      <c r="X11" s="12">
        <v>81</v>
      </c>
    </row>
    <row r="12" spans="1:24" x14ac:dyDescent="0.45">
      <c r="A12" s="11" t="s">
        <v>150</v>
      </c>
      <c r="B12" s="12" t="s">
        <v>87</v>
      </c>
      <c r="C12" s="12">
        <v>90</v>
      </c>
      <c r="D12" s="12">
        <v>90</v>
      </c>
      <c r="E12" s="12">
        <v>82</v>
      </c>
      <c r="F12" s="12">
        <v>82</v>
      </c>
      <c r="G12" s="12">
        <v>82</v>
      </c>
      <c r="H12" s="12">
        <v>82</v>
      </c>
      <c r="I12" s="12">
        <v>87</v>
      </c>
      <c r="J12" s="12">
        <v>87</v>
      </c>
      <c r="K12" s="12">
        <v>87</v>
      </c>
      <c r="L12" s="12">
        <v>87</v>
      </c>
      <c r="M12" s="12">
        <v>88</v>
      </c>
      <c r="N12" s="12">
        <v>88</v>
      </c>
      <c r="O12" s="12">
        <v>88</v>
      </c>
      <c r="P12" s="12">
        <v>88</v>
      </c>
      <c r="Q12" s="12">
        <v>89</v>
      </c>
      <c r="R12" s="12">
        <v>89</v>
      </c>
      <c r="S12" s="12">
        <v>89</v>
      </c>
      <c r="T12" s="12">
        <v>89</v>
      </c>
      <c r="U12" s="12">
        <v>88</v>
      </c>
      <c r="V12" s="12">
        <v>88</v>
      </c>
      <c r="W12" s="12">
        <v>88</v>
      </c>
      <c r="X12" s="12">
        <v>88</v>
      </c>
    </row>
    <row r="13" spans="1:24" x14ac:dyDescent="0.45">
      <c r="A13" s="11" t="s">
        <v>150</v>
      </c>
      <c r="B13" s="12" t="s">
        <v>97</v>
      </c>
      <c r="C13" s="12">
        <v>86.25</v>
      </c>
      <c r="D13" s="12">
        <v>86.25</v>
      </c>
      <c r="E13" s="12">
        <v>67</v>
      </c>
      <c r="F13" s="12">
        <v>67</v>
      </c>
      <c r="G13" s="12">
        <v>67</v>
      </c>
      <c r="H13" s="12">
        <v>67</v>
      </c>
      <c r="I13" s="12">
        <v>74</v>
      </c>
      <c r="J13" s="12">
        <v>74</v>
      </c>
      <c r="K13" s="12">
        <v>74</v>
      </c>
      <c r="L13" s="12">
        <v>74</v>
      </c>
      <c r="M13" s="12">
        <v>89</v>
      </c>
      <c r="N13" s="12">
        <v>89</v>
      </c>
      <c r="O13" s="12">
        <v>89</v>
      </c>
      <c r="P13" s="12">
        <v>89</v>
      </c>
      <c r="Q13" s="12">
        <v>87</v>
      </c>
      <c r="R13" s="12">
        <v>87</v>
      </c>
      <c r="S13" s="12">
        <v>87</v>
      </c>
      <c r="T13" s="12">
        <v>87</v>
      </c>
      <c r="U13" s="12">
        <v>86</v>
      </c>
      <c r="V13" s="12">
        <v>86</v>
      </c>
      <c r="W13" s="12">
        <v>86</v>
      </c>
      <c r="X13" s="12">
        <v>86</v>
      </c>
    </row>
    <row r="14" spans="1:24" x14ac:dyDescent="0.45">
      <c r="A14" s="11" t="s">
        <v>150</v>
      </c>
      <c r="B14" s="12" t="s">
        <v>83</v>
      </c>
      <c r="C14" s="12">
        <v>90</v>
      </c>
      <c r="D14" s="12">
        <v>90</v>
      </c>
      <c r="E14" s="12">
        <v>77</v>
      </c>
      <c r="F14" s="12">
        <v>77</v>
      </c>
      <c r="G14" s="12">
        <v>77</v>
      </c>
      <c r="H14" s="12">
        <v>77</v>
      </c>
      <c r="I14" s="12">
        <v>92</v>
      </c>
      <c r="J14" s="12">
        <v>92</v>
      </c>
      <c r="K14" s="12">
        <v>92</v>
      </c>
      <c r="L14" s="12">
        <v>92</v>
      </c>
      <c r="M14" s="12">
        <v>91</v>
      </c>
      <c r="N14" s="12">
        <v>91</v>
      </c>
      <c r="O14" s="12">
        <v>91</v>
      </c>
      <c r="P14" s="12">
        <v>91</v>
      </c>
      <c r="Q14" s="12">
        <v>92</v>
      </c>
      <c r="R14" s="12">
        <v>92</v>
      </c>
      <c r="S14" s="12">
        <v>92</v>
      </c>
      <c r="T14" s="12">
        <v>92</v>
      </c>
      <c r="U14" s="12">
        <v>90</v>
      </c>
      <c r="V14" s="12">
        <v>90</v>
      </c>
      <c r="W14" s="12">
        <v>90</v>
      </c>
      <c r="X14" s="12">
        <v>90</v>
      </c>
    </row>
    <row r="15" spans="1:24" x14ac:dyDescent="0.45">
      <c r="A15" s="11" t="s">
        <v>150</v>
      </c>
      <c r="B15" s="12" t="s">
        <v>96</v>
      </c>
      <c r="C15" s="12">
        <v>98.75</v>
      </c>
      <c r="D15" s="12">
        <v>98.75</v>
      </c>
      <c r="E15" s="12">
        <v>97</v>
      </c>
      <c r="F15" s="12">
        <v>97</v>
      </c>
      <c r="G15" s="12">
        <v>97</v>
      </c>
      <c r="H15" s="12">
        <v>97</v>
      </c>
      <c r="I15" s="12">
        <v>100</v>
      </c>
      <c r="J15" s="12">
        <v>100</v>
      </c>
      <c r="K15" s="12">
        <v>100</v>
      </c>
      <c r="L15" s="12">
        <v>100</v>
      </c>
      <c r="M15" s="11"/>
      <c r="N15" s="11"/>
      <c r="O15" s="11"/>
      <c r="P15" s="11"/>
      <c r="Q15" s="11"/>
      <c r="R15" s="11"/>
      <c r="S15" s="11"/>
      <c r="T15" s="11"/>
      <c r="U15" s="11"/>
      <c r="V15" s="11"/>
      <c r="W15" s="11"/>
      <c r="X15" s="11"/>
    </row>
    <row r="16" spans="1:24" x14ac:dyDescent="0.45">
      <c r="A16" s="11" t="s">
        <v>150</v>
      </c>
      <c r="B16" s="12" t="s">
        <v>95</v>
      </c>
      <c r="C16" s="12">
        <v>83.75</v>
      </c>
      <c r="D16" s="12">
        <v>83.75</v>
      </c>
      <c r="E16" s="12">
        <v>88</v>
      </c>
      <c r="F16" s="12">
        <v>88</v>
      </c>
      <c r="G16" s="12">
        <v>88</v>
      </c>
      <c r="H16" s="12">
        <v>88</v>
      </c>
      <c r="I16" s="12">
        <v>92</v>
      </c>
      <c r="J16" s="12">
        <v>92</v>
      </c>
      <c r="K16" s="12">
        <v>92</v>
      </c>
      <c r="L16" s="12">
        <v>92</v>
      </c>
      <c r="M16" s="12">
        <v>88</v>
      </c>
      <c r="N16" s="12">
        <v>88</v>
      </c>
      <c r="O16" s="12">
        <v>88</v>
      </c>
      <c r="P16" s="12">
        <v>88</v>
      </c>
      <c r="Q16" s="12">
        <v>90</v>
      </c>
      <c r="R16" s="12">
        <v>90</v>
      </c>
      <c r="S16" s="12">
        <v>90</v>
      </c>
      <c r="T16" s="12">
        <v>90</v>
      </c>
      <c r="U16" s="12">
        <v>88</v>
      </c>
      <c r="V16" s="12">
        <v>88</v>
      </c>
      <c r="W16" s="12">
        <v>88</v>
      </c>
      <c r="X16" s="12">
        <v>88</v>
      </c>
    </row>
    <row r="17" spans="1:24" x14ac:dyDescent="0.45">
      <c r="A17" s="11" t="s">
        <v>150</v>
      </c>
      <c r="B17" s="12" t="s">
        <v>99</v>
      </c>
      <c r="C17" s="12">
        <v>98.75</v>
      </c>
      <c r="D17" s="12">
        <v>98.75</v>
      </c>
      <c r="E17" s="12">
        <v>83</v>
      </c>
      <c r="F17" s="12">
        <v>83</v>
      </c>
      <c r="G17" s="12">
        <v>83</v>
      </c>
      <c r="H17" s="12">
        <v>83</v>
      </c>
      <c r="I17" s="12">
        <v>97</v>
      </c>
      <c r="J17" s="12">
        <v>97</v>
      </c>
      <c r="K17" s="12">
        <v>97</v>
      </c>
      <c r="L17" s="12">
        <v>97</v>
      </c>
      <c r="M17" s="11"/>
      <c r="N17" s="11"/>
      <c r="O17" s="11"/>
      <c r="P17" s="11"/>
      <c r="Q17" s="11"/>
      <c r="R17" s="11"/>
      <c r="S17" s="11"/>
      <c r="T17" s="11"/>
      <c r="U17" s="11"/>
      <c r="V17" s="11"/>
      <c r="W17" s="11"/>
      <c r="X17" s="11"/>
    </row>
    <row r="18" spans="1:24" x14ac:dyDescent="0.45">
      <c r="A18" s="11" t="s">
        <v>150</v>
      </c>
      <c r="B18" s="12" t="s">
        <v>94</v>
      </c>
      <c r="C18" s="12">
        <v>95</v>
      </c>
      <c r="D18" s="12">
        <v>95</v>
      </c>
      <c r="E18" s="12">
        <v>87</v>
      </c>
      <c r="F18" s="12">
        <v>87</v>
      </c>
      <c r="G18" s="12">
        <v>87</v>
      </c>
      <c r="H18" s="12">
        <v>87</v>
      </c>
      <c r="I18" s="12">
        <v>92</v>
      </c>
      <c r="J18" s="12">
        <v>92</v>
      </c>
      <c r="K18" s="12">
        <v>92</v>
      </c>
      <c r="L18" s="12">
        <v>92</v>
      </c>
      <c r="M18" s="12">
        <v>84</v>
      </c>
      <c r="N18" s="12">
        <v>84</v>
      </c>
      <c r="O18" s="12">
        <v>84</v>
      </c>
      <c r="P18" s="12">
        <v>84</v>
      </c>
      <c r="Q18" s="12">
        <v>97</v>
      </c>
      <c r="R18" s="12">
        <v>97</v>
      </c>
      <c r="S18" s="12">
        <v>97</v>
      </c>
      <c r="T18" s="12">
        <v>97</v>
      </c>
      <c r="U18" s="12">
        <v>93</v>
      </c>
      <c r="V18" s="12">
        <v>93</v>
      </c>
      <c r="W18" s="12">
        <v>93</v>
      </c>
      <c r="X18" s="12">
        <v>93</v>
      </c>
    </row>
    <row r="19" spans="1:24" x14ac:dyDescent="0.45">
      <c r="A19" s="11" t="s">
        <v>150</v>
      </c>
      <c r="B19" s="12" t="s">
        <v>85</v>
      </c>
      <c r="C19" s="12">
        <v>95</v>
      </c>
      <c r="D19" s="12">
        <v>95</v>
      </c>
      <c r="E19" s="12">
        <v>74</v>
      </c>
      <c r="F19" s="12">
        <v>74</v>
      </c>
      <c r="G19" s="12">
        <v>74</v>
      </c>
      <c r="H19" s="12">
        <v>74</v>
      </c>
      <c r="I19" s="12">
        <v>79</v>
      </c>
      <c r="J19" s="12">
        <v>79</v>
      </c>
      <c r="K19" s="12">
        <v>79</v>
      </c>
      <c r="L19" s="12">
        <v>79</v>
      </c>
      <c r="M19" s="12" t="s">
        <v>124</v>
      </c>
      <c r="N19" s="12" t="s">
        <v>124</v>
      </c>
      <c r="O19" s="12" t="s">
        <v>124</v>
      </c>
      <c r="P19" s="12" t="s">
        <v>124</v>
      </c>
      <c r="Q19" s="12">
        <v>90</v>
      </c>
      <c r="R19" s="12">
        <v>90</v>
      </c>
      <c r="S19" s="12">
        <v>90</v>
      </c>
      <c r="T19" s="12">
        <v>90</v>
      </c>
      <c r="U19" s="12">
        <v>92</v>
      </c>
      <c r="V19" s="12">
        <v>92</v>
      </c>
      <c r="W19" s="12">
        <v>92</v>
      </c>
      <c r="X19" s="12">
        <v>92</v>
      </c>
    </row>
    <row r="20" spans="1:24" x14ac:dyDescent="0.45">
      <c r="A20" s="11" t="s">
        <v>150</v>
      </c>
      <c r="B20" s="12" t="s">
        <v>92</v>
      </c>
      <c r="C20" s="12">
        <v>98.75</v>
      </c>
      <c r="D20" s="12">
        <v>98.75</v>
      </c>
      <c r="E20" s="12">
        <v>93</v>
      </c>
      <c r="F20" s="12">
        <v>93</v>
      </c>
      <c r="G20" s="12">
        <v>93</v>
      </c>
      <c r="H20" s="12">
        <v>93</v>
      </c>
      <c r="I20" s="12">
        <v>94</v>
      </c>
      <c r="J20" s="12">
        <v>94</v>
      </c>
      <c r="K20" s="12">
        <v>94</v>
      </c>
      <c r="L20" s="12">
        <v>94</v>
      </c>
      <c r="M20" s="12">
        <v>94</v>
      </c>
      <c r="N20" s="12">
        <v>94</v>
      </c>
      <c r="O20" s="12">
        <v>94</v>
      </c>
      <c r="P20" s="12">
        <v>94</v>
      </c>
      <c r="Q20" s="13"/>
      <c r="R20" s="13"/>
      <c r="S20" s="13"/>
      <c r="T20" s="13"/>
      <c r="U20" s="12">
        <v>94</v>
      </c>
      <c r="V20" s="12">
        <v>94</v>
      </c>
      <c r="W20" s="12">
        <v>94</v>
      </c>
      <c r="X20" s="12">
        <v>94</v>
      </c>
    </row>
    <row r="21" spans="1:24" x14ac:dyDescent="0.45">
      <c r="A21" s="11" t="s">
        <v>150</v>
      </c>
      <c r="B21" s="12" t="s">
        <v>88</v>
      </c>
      <c r="C21" s="12">
        <v>96.25</v>
      </c>
      <c r="D21" s="12">
        <v>96.25</v>
      </c>
      <c r="E21" s="12">
        <v>89</v>
      </c>
      <c r="F21" s="12">
        <v>89</v>
      </c>
      <c r="G21" s="12">
        <v>89</v>
      </c>
      <c r="H21" s="12">
        <v>89</v>
      </c>
      <c r="I21" s="12">
        <v>94</v>
      </c>
      <c r="J21" s="12">
        <v>94</v>
      </c>
      <c r="K21" s="12">
        <v>94</v>
      </c>
      <c r="L21" s="12">
        <v>94</v>
      </c>
      <c r="M21" s="12">
        <v>94</v>
      </c>
      <c r="N21" s="12">
        <v>94</v>
      </c>
      <c r="O21" s="12">
        <v>94</v>
      </c>
      <c r="P21" s="12">
        <v>94</v>
      </c>
      <c r="Q21" s="12">
        <v>87</v>
      </c>
      <c r="R21" s="12">
        <v>87</v>
      </c>
      <c r="S21" s="12">
        <v>87</v>
      </c>
      <c r="T21" s="12">
        <v>87</v>
      </c>
      <c r="U21" s="12">
        <v>96</v>
      </c>
      <c r="V21" s="12">
        <v>96</v>
      </c>
      <c r="W21" s="12">
        <v>96</v>
      </c>
      <c r="X21" s="12">
        <v>96</v>
      </c>
    </row>
    <row r="22" spans="1:24" x14ac:dyDescent="0.45">
      <c r="A22" s="11" t="s">
        <v>150</v>
      </c>
      <c r="B22" s="12" t="s">
        <v>90</v>
      </c>
      <c r="C22" s="12">
        <v>95</v>
      </c>
      <c r="D22" s="12">
        <v>95</v>
      </c>
      <c r="E22" s="12">
        <v>90</v>
      </c>
      <c r="F22" s="12">
        <v>90</v>
      </c>
      <c r="G22" s="12">
        <v>90</v>
      </c>
      <c r="H22" s="12">
        <v>90</v>
      </c>
      <c r="I22" s="12">
        <v>94</v>
      </c>
      <c r="J22" s="12">
        <v>94</v>
      </c>
      <c r="K22" s="12">
        <v>94</v>
      </c>
      <c r="L22" s="12">
        <v>94</v>
      </c>
      <c r="M22" s="12">
        <v>96</v>
      </c>
      <c r="N22" s="12">
        <v>96</v>
      </c>
      <c r="O22" s="12">
        <v>96</v>
      </c>
      <c r="P22" s="12">
        <v>96</v>
      </c>
      <c r="Q22" s="12">
        <v>90</v>
      </c>
      <c r="R22" s="12">
        <v>90</v>
      </c>
      <c r="S22" s="12">
        <v>90</v>
      </c>
      <c r="T22" s="12">
        <v>90</v>
      </c>
      <c r="U22" s="12">
        <v>91</v>
      </c>
      <c r="V22" s="12">
        <v>91</v>
      </c>
      <c r="W22" s="12">
        <v>91</v>
      </c>
      <c r="X22" s="12">
        <v>91</v>
      </c>
    </row>
    <row r="23" spans="1:24" x14ac:dyDescent="0.45">
      <c r="A23" s="11" t="s">
        <v>150</v>
      </c>
      <c r="B23" s="12" t="s">
        <v>91</v>
      </c>
      <c r="C23" s="12">
        <v>97.5</v>
      </c>
      <c r="D23" s="12">
        <v>97.5</v>
      </c>
      <c r="E23" s="12">
        <v>95</v>
      </c>
      <c r="F23" s="12">
        <v>95</v>
      </c>
      <c r="G23" s="12">
        <v>95</v>
      </c>
      <c r="H23" s="12">
        <v>95</v>
      </c>
      <c r="I23" s="12">
        <v>95</v>
      </c>
      <c r="J23" s="12">
        <v>95</v>
      </c>
      <c r="K23" s="12">
        <v>95</v>
      </c>
      <c r="L23" s="12">
        <v>95</v>
      </c>
      <c r="M23" s="12" t="s">
        <v>124</v>
      </c>
      <c r="N23" s="12" t="s">
        <v>124</v>
      </c>
      <c r="O23" s="12" t="s">
        <v>124</v>
      </c>
      <c r="P23" s="12" t="s">
        <v>124</v>
      </c>
      <c r="Q23" s="12">
        <v>97</v>
      </c>
      <c r="R23" s="12">
        <v>97</v>
      </c>
      <c r="S23" s="12">
        <v>97</v>
      </c>
      <c r="T23" s="12">
        <v>97</v>
      </c>
      <c r="U23" s="12">
        <v>93</v>
      </c>
      <c r="V23" s="12">
        <v>93</v>
      </c>
      <c r="W23" s="12">
        <v>93</v>
      </c>
      <c r="X23" s="12">
        <v>93</v>
      </c>
    </row>
    <row r="24" spans="1:24" x14ac:dyDescent="0.45">
      <c r="A24" s="11" t="s">
        <v>150</v>
      </c>
      <c r="B24" s="12" t="s">
        <v>80</v>
      </c>
      <c r="C24" s="12">
        <v>98.75</v>
      </c>
      <c r="D24" s="12">
        <v>98.75</v>
      </c>
      <c r="E24" s="12">
        <v>87</v>
      </c>
      <c r="F24" s="12">
        <v>87</v>
      </c>
      <c r="G24" s="12">
        <v>87</v>
      </c>
      <c r="H24" s="12">
        <v>87</v>
      </c>
      <c r="I24" s="12">
        <v>91</v>
      </c>
      <c r="J24" s="12">
        <v>91</v>
      </c>
      <c r="K24" s="12">
        <v>91</v>
      </c>
      <c r="L24" s="12">
        <v>91</v>
      </c>
      <c r="M24" s="12">
        <v>87</v>
      </c>
      <c r="N24" s="12">
        <v>87</v>
      </c>
      <c r="O24" s="12">
        <v>87</v>
      </c>
      <c r="P24" s="12">
        <v>87</v>
      </c>
      <c r="Q24" s="12">
        <v>85</v>
      </c>
      <c r="R24" s="12">
        <v>85</v>
      </c>
      <c r="S24" s="12">
        <v>85</v>
      </c>
      <c r="T24" s="12">
        <v>85</v>
      </c>
      <c r="U24" s="12">
        <v>87</v>
      </c>
      <c r="V24" s="12">
        <v>87</v>
      </c>
      <c r="W24" s="12">
        <v>87</v>
      </c>
      <c r="X24" s="12">
        <v>87</v>
      </c>
    </row>
    <row r="25" spans="1:24" x14ac:dyDescent="0.45">
      <c r="A25" s="11" t="s">
        <v>150</v>
      </c>
      <c r="B25" s="12" t="s">
        <v>82</v>
      </c>
      <c r="C25" s="12">
        <v>87.5</v>
      </c>
      <c r="D25" s="12">
        <v>87.5</v>
      </c>
      <c r="E25" s="12">
        <v>93</v>
      </c>
      <c r="F25" s="12">
        <v>93</v>
      </c>
      <c r="G25" s="12">
        <v>93</v>
      </c>
      <c r="H25" s="12">
        <v>93</v>
      </c>
      <c r="I25" s="12">
        <v>96</v>
      </c>
      <c r="J25" s="12">
        <v>96</v>
      </c>
      <c r="K25" s="12">
        <v>96</v>
      </c>
      <c r="L25" s="12">
        <v>96</v>
      </c>
      <c r="M25" s="12">
        <v>88</v>
      </c>
      <c r="N25" s="12">
        <v>88</v>
      </c>
      <c r="O25" s="12">
        <v>88</v>
      </c>
      <c r="P25" s="12">
        <v>88</v>
      </c>
      <c r="Q25" s="12">
        <v>90</v>
      </c>
      <c r="R25" s="12">
        <v>90</v>
      </c>
      <c r="S25" s="12">
        <v>90</v>
      </c>
      <c r="T25" s="12">
        <v>90</v>
      </c>
      <c r="U25" s="12">
        <v>94</v>
      </c>
      <c r="V25" s="12">
        <v>94</v>
      </c>
      <c r="W25" s="12">
        <v>94</v>
      </c>
      <c r="X25" s="12">
        <v>94</v>
      </c>
    </row>
    <row r="26" spans="1:24" x14ac:dyDescent="0.45">
      <c r="A26" s="11" t="s">
        <v>150</v>
      </c>
      <c r="B26" s="12" t="s">
        <v>158</v>
      </c>
      <c r="C26" s="12">
        <v>83.75</v>
      </c>
      <c r="D26" s="12">
        <v>83.75</v>
      </c>
      <c r="E26" s="12">
        <v>78</v>
      </c>
      <c r="F26" s="12">
        <v>78</v>
      </c>
      <c r="G26" s="12">
        <v>78</v>
      </c>
      <c r="H26" s="12">
        <v>78</v>
      </c>
      <c r="I26" s="12">
        <v>80</v>
      </c>
      <c r="J26" s="12">
        <v>80</v>
      </c>
      <c r="K26" s="12">
        <v>80</v>
      </c>
      <c r="L26" s="12">
        <v>80</v>
      </c>
      <c r="M26" s="11"/>
      <c r="N26" s="11"/>
      <c r="O26" s="11"/>
      <c r="P26" s="11"/>
      <c r="Q26" s="11"/>
      <c r="R26" s="11"/>
      <c r="S26" s="11"/>
      <c r="T26" s="11"/>
      <c r="U26" s="11"/>
      <c r="V26" s="11"/>
      <c r="W26" s="11"/>
      <c r="X26" s="11"/>
    </row>
    <row r="27" spans="1:24" x14ac:dyDescent="0.45">
      <c r="A27" s="11" t="s">
        <v>150</v>
      </c>
      <c r="B27" s="12" t="s">
        <v>84</v>
      </c>
      <c r="C27" s="12">
        <v>90</v>
      </c>
      <c r="D27" s="12">
        <v>90</v>
      </c>
      <c r="E27" s="12">
        <v>77</v>
      </c>
      <c r="F27" s="12">
        <v>77</v>
      </c>
      <c r="G27" s="12">
        <v>77</v>
      </c>
      <c r="H27" s="12">
        <v>77</v>
      </c>
      <c r="I27" s="12">
        <v>75</v>
      </c>
      <c r="J27" s="12">
        <v>75</v>
      </c>
      <c r="K27" s="12">
        <v>75</v>
      </c>
      <c r="L27" s="12">
        <v>75</v>
      </c>
      <c r="M27" s="12">
        <v>88</v>
      </c>
      <c r="N27" s="12">
        <v>88</v>
      </c>
      <c r="O27" s="12">
        <v>88</v>
      </c>
      <c r="P27" s="12">
        <v>88</v>
      </c>
      <c r="Q27" s="12">
        <v>76</v>
      </c>
      <c r="R27" s="12">
        <v>76</v>
      </c>
      <c r="S27" s="12">
        <v>76</v>
      </c>
      <c r="T27" s="12">
        <v>76</v>
      </c>
      <c r="U27" s="12">
        <v>85</v>
      </c>
      <c r="V27" s="12">
        <v>85</v>
      </c>
      <c r="W27" s="12">
        <v>85</v>
      </c>
      <c r="X27" s="12">
        <v>85</v>
      </c>
    </row>
    <row r="28" spans="1:24" x14ac:dyDescent="0.45">
      <c r="A28" s="11" t="s">
        <v>150</v>
      </c>
      <c r="B28" s="12" t="s">
        <v>81</v>
      </c>
      <c r="C28" s="12">
        <v>86.25</v>
      </c>
      <c r="D28" s="12">
        <v>86.25</v>
      </c>
      <c r="E28" s="12">
        <v>80</v>
      </c>
      <c r="F28" s="12">
        <v>80</v>
      </c>
      <c r="G28" s="12">
        <v>80</v>
      </c>
      <c r="H28" s="12">
        <v>80</v>
      </c>
      <c r="I28" s="12">
        <v>79</v>
      </c>
      <c r="J28" s="12">
        <v>79</v>
      </c>
      <c r="K28" s="12">
        <v>79</v>
      </c>
      <c r="L28" s="12">
        <v>79</v>
      </c>
      <c r="M28" s="12">
        <v>88</v>
      </c>
      <c r="N28" s="12">
        <v>88</v>
      </c>
      <c r="O28" s="12">
        <v>88</v>
      </c>
      <c r="P28" s="12">
        <v>88</v>
      </c>
      <c r="Q28" s="12">
        <v>84</v>
      </c>
      <c r="R28" s="12">
        <v>84</v>
      </c>
      <c r="S28" s="12">
        <v>84</v>
      </c>
      <c r="T28" s="12">
        <v>84</v>
      </c>
      <c r="U28" s="12">
        <v>86</v>
      </c>
      <c r="V28" s="12">
        <v>86</v>
      </c>
      <c r="W28" s="12">
        <v>86</v>
      </c>
      <c r="X28" s="12">
        <v>86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F8F3-003F-4D9D-AA95-F319BF4A0BB1}">
  <dimension ref="A1:X13"/>
  <sheetViews>
    <sheetView workbookViewId="0">
      <selection activeCell="A2" sqref="A2:X13"/>
    </sheetView>
  </sheetViews>
  <sheetFormatPr defaultRowHeight="17" x14ac:dyDescent="0.45"/>
  <cols>
    <col min="1" max="1" width="6.15234375" style="19" bestFit="1" customWidth="1"/>
    <col min="2" max="2" width="9.84375" style="19" bestFit="1" customWidth="1"/>
    <col min="3" max="4" width="5.15234375" style="19" bestFit="1" customWidth="1"/>
    <col min="5" max="8" width="3.84375" style="19" bestFit="1" customWidth="1"/>
    <col min="9" max="20" width="2.921875" style="19" bestFit="1" customWidth="1"/>
    <col min="21" max="24" width="4.4609375" style="19" bestFit="1" customWidth="1"/>
    <col min="25" max="16384" width="9.23046875" style="19"/>
  </cols>
  <sheetData>
    <row r="1" spans="1:24" ht="17.5" thickBot="1" x14ac:dyDescent="0.5">
      <c r="A1" s="17"/>
      <c r="B1" s="17"/>
      <c r="C1" s="17">
        <v>1</v>
      </c>
      <c r="D1" s="17">
        <v>2</v>
      </c>
      <c r="E1" s="17">
        <v>3</v>
      </c>
      <c r="F1" s="17">
        <v>4</v>
      </c>
      <c r="G1" s="17">
        <v>5</v>
      </c>
      <c r="H1" s="17">
        <v>6</v>
      </c>
      <c r="I1" s="17">
        <v>7</v>
      </c>
      <c r="J1" s="17">
        <v>8</v>
      </c>
      <c r="K1" s="17">
        <v>9</v>
      </c>
      <c r="L1" s="17">
        <v>10</v>
      </c>
      <c r="M1" s="17">
        <v>11</v>
      </c>
      <c r="N1" s="17">
        <v>12</v>
      </c>
      <c r="O1" s="17">
        <v>13</v>
      </c>
      <c r="P1" s="17">
        <v>14</v>
      </c>
      <c r="Q1" s="17">
        <v>15</v>
      </c>
      <c r="R1" s="17">
        <v>16</v>
      </c>
      <c r="S1" s="17">
        <v>17</v>
      </c>
      <c r="T1" s="17">
        <v>18</v>
      </c>
      <c r="U1" s="17">
        <v>19</v>
      </c>
      <c r="V1" s="17">
        <v>20</v>
      </c>
      <c r="W1" s="17">
        <v>21</v>
      </c>
      <c r="X1" s="17">
        <v>22</v>
      </c>
    </row>
    <row r="2" spans="1:24" ht="17.5" thickBot="1" x14ac:dyDescent="0.5">
      <c r="A2" s="17" t="s">
        <v>159</v>
      </c>
      <c r="B2" s="19" t="s">
        <v>72</v>
      </c>
      <c r="C2" s="14">
        <v>97.5</v>
      </c>
      <c r="D2" s="14">
        <v>97.5</v>
      </c>
      <c r="E2" s="14">
        <v>99</v>
      </c>
      <c r="F2" s="14">
        <v>99</v>
      </c>
      <c r="G2" s="14">
        <v>99</v>
      </c>
      <c r="H2" s="14">
        <v>99</v>
      </c>
      <c r="I2" s="14">
        <v>95</v>
      </c>
      <c r="J2" s="14">
        <v>95</v>
      </c>
      <c r="K2" s="14">
        <v>95</v>
      </c>
      <c r="L2" s="14">
        <v>95</v>
      </c>
      <c r="M2" s="15">
        <v>96</v>
      </c>
      <c r="N2" s="15">
        <v>96</v>
      </c>
      <c r="O2" s="15">
        <v>96</v>
      </c>
      <c r="P2" s="15">
        <v>96</v>
      </c>
      <c r="Q2" s="15">
        <v>98</v>
      </c>
      <c r="R2" s="15">
        <v>98</v>
      </c>
      <c r="S2" s="15">
        <v>98</v>
      </c>
      <c r="T2" s="15">
        <v>98</v>
      </c>
      <c r="U2" s="15">
        <v>96</v>
      </c>
      <c r="V2" s="15">
        <v>96</v>
      </c>
      <c r="W2" s="15">
        <v>96</v>
      </c>
      <c r="X2" s="15">
        <v>96</v>
      </c>
    </row>
    <row r="3" spans="1:24" ht="17.5" thickBot="1" x14ac:dyDescent="0.5">
      <c r="A3" s="17" t="s">
        <v>159</v>
      </c>
      <c r="B3" s="19" t="s">
        <v>69</v>
      </c>
      <c r="C3" s="14">
        <v>98.75</v>
      </c>
      <c r="D3" s="14">
        <v>98.75</v>
      </c>
      <c r="E3" s="14">
        <v>97</v>
      </c>
      <c r="F3" s="14">
        <v>97</v>
      </c>
      <c r="G3" s="14">
        <v>97</v>
      </c>
      <c r="H3" s="14">
        <v>97</v>
      </c>
      <c r="I3" s="14">
        <v>95</v>
      </c>
      <c r="J3" s="14">
        <v>95</v>
      </c>
      <c r="K3" s="14">
        <v>95</v>
      </c>
      <c r="L3" s="14">
        <v>95</v>
      </c>
      <c r="M3" s="16">
        <v>95</v>
      </c>
      <c r="N3" s="16">
        <v>95</v>
      </c>
      <c r="O3" s="16">
        <v>95</v>
      </c>
      <c r="P3" s="16">
        <v>95</v>
      </c>
      <c r="Q3" s="16">
        <v>98</v>
      </c>
      <c r="R3" s="16">
        <v>98</v>
      </c>
      <c r="S3" s="16">
        <v>98</v>
      </c>
      <c r="T3" s="16">
        <v>98</v>
      </c>
      <c r="U3" s="16">
        <v>93</v>
      </c>
      <c r="V3" s="16">
        <v>93</v>
      </c>
      <c r="W3" s="16">
        <v>93</v>
      </c>
      <c r="X3" s="16">
        <v>93</v>
      </c>
    </row>
    <row r="4" spans="1:24" ht="17.5" thickBot="1" x14ac:dyDescent="0.5">
      <c r="A4" s="17" t="s">
        <v>159</v>
      </c>
      <c r="B4" s="19" t="s">
        <v>68</v>
      </c>
      <c r="C4" s="14">
        <v>98.75</v>
      </c>
      <c r="D4" s="14">
        <v>98.75</v>
      </c>
      <c r="E4" s="14">
        <v>92</v>
      </c>
      <c r="F4" s="14">
        <v>92</v>
      </c>
      <c r="G4" s="14">
        <v>92</v>
      </c>
      <c r="H4" s="14">
        <v>92</v>
      </c>
      <c r="I4" s="14">
        <v>90</v>
      </c>
      <c r="J4" s="14">
        <v>90</v>
      </c>
      <c r="K4" s="14">
        <v>90</v>
      </c>
      <c r="L4" s="14">
        <v>90</v>
      </c>
      <c r="M4" s="16">
        <v>82</v>
      </c>
      <c r="N4" s="16">
        <v>82</v>
      </c>
      <c r="O4" s="16">
        <v>82</v>
      </c>
      <c r="P4" s="16">
        <v>82</v>
      </c>
      <c r="Q4" s="16">
        <v>95</v>
      </c>
      <c r="R4" s="16">
        <v>95</v>
      </c>
      <c r="S4" s="16">
        <v>95</v>
      </c>
      <c r="T4" s="16">
        <v>95</v>
      </c>
      <c r="U4" s="16">
        <v>99</v>
      </c>
      <c r="V4" s="16">
        <v>99</v>
      </c>
      <c r="W4" s="16">
        <v>99</v>
      </c>
      <c r="X4" s="16">
        <v>99</v>
      </c>
    </row>
    <row r="5" spans="1:24" ht="17.5" thickBot="1" x14ac:dyDescent="0.5">
      <c r="A5" s="17" t="s">
        <v>159</v>
      </c>
      <c r="B5" s="19" t="s">
        <v>70</v>
      </c>
      <c r="C5" s="14">
        <v>95</v>
      </c>
      <c r="D5" s="14">
        <v>95</v>
      </c>
      <c r="E5" s="14">
        <v>90</v>
      </c>
      <c r="F5" s="14">
        <v>90</v>
      </c>
      <c r="G5" s="14">
        <v>90</v>
      </c>
      <c r="H5" s="14">
        <v>90</v>
      </c>
      <c r="I5" s="14">
        <v>95</v>
      </c>
      <c r="J5" s="14">
        <v>95</v>
      </c>
      <c r="K5" s="14">
        <v>95</v>
      </c>
      <c r="L5" s="14">
        <v>95</v>
      </c>
      <c r="M5" s="16">
        <v>95</v>
      </c>
      <c r="N5" s="16">
        <v>95</v>
      </c>
      <c r="O5" s="16">
        <v>95</v>
      </c>
      <c r="P5" s="16">
        <v>95</v>
      </c>
      <c r="Q5" s="16">
        <v>93</v>
      </c>
      <c r="R5" s="16">
        <v>93</v>
      </c>
      <c r="S5" s="16">
        <v>93</v>
      </c>
      <c r="T5" s="16">
        <v>93</v>
      </c>
      <c r="U5" s="16"/>
      <c r="V5" s="16"/>
      <c r="W5" s="16"/>
      <c r="X5" s="16"/>
    </row>
    <row r="6" spans="1:24" ht="17.5" thickBot="1" x14ac:dyDescent="0.5">
      <c r="A6" s="17" t="s">
        <v>159</v>
      </c>
      <c r="B6" s="14" t="s">
        <v>161</v>
      </c>
      <c r="C6" s="14" t="s">
        <v>123</v>
      </c>
      <c r="D6" s="14" t="s">
        <v>123</v>
      </c>
      <c r="E6" s="14">
        <v>85</v>
      </c>
      <c r="F6" s="14">
        <v>85</v>
      </c>
      <c r="G6" s="14">
        <v>85</v>
      </c>
      <c r="H6" s="14">
        <v>85</v>
      </c>
      <c r="I6" s="14">
        <v>87</v>
      </c>
      <c r="J6" s="14">
        <v>87</v>
      </c>
      <c r="K6" s="14">
        <v>87</v>
      </c>
      <c r="L6" s="14">
        <v>87</v>
      </c>
      <c r="M6" s="16">
        <v>88</v>
      </c>
      <c r="N6" s="16">
        <v>88</v>
      </c>
      <c r="O6" s="16">
        <v>88</v>
      </c>
      <c r="P6" s="16">
        <v>88</v>
      </c>
      <c r="Q6" s="16">
        <v>81</v>
      </c>
      <c r="R6" s="16">
        <v>81</v>
      </c>
      <c r="S6" s="16">
        <v>81</v>
      </c>
      <c r="T6" s="16">
        <v>81</v>
      </c>
      <c r="U6" s="18"/>
      <c r="V6" s="18"/>
      <c r="W6" s="18"/>
      <c r="X6" s="18"/>
    </row>
    <row r="7" spans="1:24" ht="17.5" thickBot="1" x14ac:dyDescent="0.5">
      <c r="A7" s="17" t="s">
        <v>159</v>
      </c>
      <c r="B7" s="14" t="s">
        <v>162</v>
      </c>
      <c r="C7" s="14">
        <v>98.75</v>
      </c>
      <c r="D7" s="14">
        <v>98.75</v>
      </c>
      <c r="E7" s="14">
        <v>99</v>
      </c>
      <c r="F7" s="14">
        <v>99</v>
      </c>
      <c r="G7" s="14">
        <v>99</v>
      </c>
      <c r="H7" s="14">
        <v>99</v>
      </c>
      <c r="I7" s="14">
        <v>99</v>
      </c>
      <c r="J7" s="14">
        <v>99</v>
      </c>
      <c r="K7" s="14">
        <v>99</v>
      </c>
      <c r="L7" s="14">
        <v>99</v>
      </c>
      <c r="M7" s="17"/>
      <c r="N7" s="17"/>
      <c r="O7" s="17"/>
      <c r="P7" s="17"/>
      <c r="Q7" s="17"/>
      <c r="R7" s="17"/>
      <c r="S7" s="17"/>
      <c r="T7" s="17"/>
      <c r="U7" s="17"/>
      <c r="V7" s="17"/>
      <c r="W7" s="17"/>
      <c r="X7" s="17"/>
    </row>
    <row r="8" spans="1:24" ht="17.5" thickBot="1" x14ac:dyDescent="0.5">
      <c r="A8" s="17" t="s">
        <v>159</v>
      </c>
      <c r="B8" s="19" t="s">
        <v>71</v>
      </c>
      <c r="C8" s="14">
        <v>95</v>
      </c>
      <c r="D8" s="14">
        <v>95</v>
      </c>
      <c r="E8" s="14">
        <v>93</v>
      </c>
      <c r="F8" s="14">
        <v>93</v>
      </c>
      <c r="G8" s="14">
        <v>93</v>
      </c>
      <c r="H8" s="14">
        <v>93</v>
      </c>
      <c r="I8" s="14">
        <v>93</v>
      </c>
      <c r="J8" s="14">
        <v>93</v>
      </c>
      <c r="K8" s="14">
        <v>93</v>
      </c>
      <c r="L8" s="14">
        <v>93</v>
      </c>
      <c r="M8" s="16">
        <v>99</v>
      </c>
      <c r="N8" s="16">
        <v>99</v>
      </c>
      <c r="O8" s="16">
        <v>99</v>
      </c>
      <c r="P8" s="16">
        <v>99</v>
      </c>
      <c r="Q8" s="16">
        <v>89</v>
      </c>
      <c r="R8" s="16">
        <v>89</v>
      </c>
      <c r="S8" s="16">
        <v>89</v>
      </c>
      <c r="T8" s="16">
        <v>89</v>
      </c>
      <c r="U8" s="16">
        <v>98</v>
      </c>
      <c r="V8" s="16">
        <v>98</v>
      </c>
      <c r="W8" s="16">
        <v>98</v>
      </c>
      <c r="X8" s="16">
        <v>98</v>
      </c>
    </row>
    <row r="9" spans="1:24" ht="17.5" thickBot="1" x14ac:dyDescent="0.5">
      <c r="A9" s="17" t="s">
        <v>159</v>
      </c>
      <c r="B9" s="14" t="s">
        <v>163</v>
      </c>
      <c r="C9" s="14">
        <v>96.25</v>
      </c>
      <c r="D9" s="14">
        <v>96.25</v>
      </c>
      <c r="E9" s="14">
        <v>93</v>
      </c>
      <c r="F9" s="14">
        <v>93</v>
      </c>
      <c r="G9" s="14">
        <v>93</v>
      </c>
      <c r="H9" s="14">
        <v>93</v>
      </c>
      <c r="I9" s="14">
        <v>93</v>
      </c>
      <c r="J9" s="14">
        <v>93</v>
      </c>
      <c r="K9" s="14">
        <v>93</v>
      </c>
      <c r="L9" s="14">
        <v>93</v>
      </c>
      <c r="M9" s="17"/>
      <c r="N9" s="17"/>
      <c r="O9" s="17"/>
      <c r="P9" s="17"/>
      <c r="Q9" s="17"/>
      <c r="R9" s="17"/>
      <c r="S9" s="17"/>
      <c r="T9" s="17"/>
      <c r="U9" s="17"/>
      <c r="V9" s="17"/>
      <c r="W9" s="17"/>
      <c r="X9" s="17"/>
    </row>
    <row r="10" spans="1:24" ht="17.5" thickBot="1" x14ac:dyDescent="0.5">
      <c r="A10" s="17" t="s">
        <v>159</v>
      </c>
      <c r="B10" s="19" t="s">
        <v>65</v>
      </c>
      <c r="C10" s="14">
        <v>98.75</v>
      </c>
      <c r="D10" s="14">
        <v>98.75</v>
      </c>
      <c r="E10" s="14">
        <v>97</v>
      </c>
      <c r="F10" s="14">
        <v>97</v>
      </c>
      <c r="G10" s="14">
        <v>97</v>
      </c>
      <c r="H10" s="14">
        <v>97</v>
      </c>
      <c r="I10" s="14">
        <v>95</v>
      </c>
      <c r="J10" s="14">
        <v>95</v>
      </c>
      <c r="K10" s="14">
        <v>95</v>
      </c>
      <c r="L10" s="14">
        <v>95</v>
      </c>
      <c r="M10" s="16">
        <v>99</v>
      </c>
      <c r="N10" s="16">
        <v>99</v>
      </c>
      <c r="O10" s="16">
        <v>99</v>
      </c>
      <c r="P10" s="16">
        <v>99</v>
      </c>
      <c r="Q10" s="16">
        <v>92</v>
      </c>
      <c r="R10" s="16">
        <v>92</v>
      </c>
      <c r="S10" s="16">
        <v>92</v>
      </c>
      <c r="T10" s="16">
        <v>92</v>
      </c>
      <c r="U10" s="16">
        <v>98</v>
      </c>
      <c r="V10" s="16">
        <v>98</v>
      </c>
      <c r="W10" s="16">
        <v>98</v>
      </c>
      <c r="X10" s="16">
        <v>98</v>
      </c>
    </row>
    <row r="11" spans="1:24" ht="17.5" thickBot="1" x14ac:dyDescent="0.5">
      <c r="A11" s="17" t="s">
        <v>159</v>
      </c>
      <c r="B11" s="14" t="s">
        <v>160</v>
      </c>
      <c r="C11" s="14">
        <v>92.5</v>
      </c>
      <c r="D11" s="14">
        <v>92.5</v>
      </c>
      <c r="E11" s="14">
        <v>83</v>
      </c>
      <c r="F11" s="14">
        <v>83</v>
      </c>
      <c r="G11" s="14">
        <v>83</v>
      </c>
      <c r="H11" s="14">
        <v>83</v>
      </c>
      <c r="I11" s="14">
        <v>90</v>
      </c>
      <c r="J11" s="14">
        <v>90</v>
      </c>
      <c r="K11" s="14">
        <v>90</v>
      </c>
      <c r="L11" s="14">
        <v>90</v>
      </c>
      <c r="M11" s="17"/>
      <c r="N11" s="17"/>
      <c r="O11" s="17"/>
      <c r="P11" s="17"/>
      <c r="Q11" s="17"/>
      <c r="R11" s="17"/>
      <c r="S11" s="17"/>
      <c r="T11" s="17"/>
      <c r="U11" s="17"/>
      <c r="V11" s="17"/>
      <c r="W11" s="17"/>
      <c r="X11" s="17"/>
    </row>
    <row r="12" spans="1:24" ht="17.5" thickBot="1" x14ac:dyDescent="0.5">
      <c r="A12" s="17" t="s">
        <v>159</v>
      </c>
      <c r="B12" s="19" t="s">
        <v>66</v>
      </c>
      <c r="C12" s="14">
        <v>100</v>
      </c>
      <c r="D12" s="14">
        <v>100</v>
      </c>
      <c r="E12" s="14">
        <v>100</v>
      </c>
      <c r="F12" s="14">
        <v>100</v>
      </c>
      <c r="G12" s="14">
        <v>100</v>
      </c>
      <c r="H12" s="14">
        <v>100</v>
      </c>
      <c r="I12" s="14">
        <v>99</v>
      </c>
      <c r="J12" s="14">
        <v>99</v>
      </c>
      <c r="K12" s="14">
        <v>99</v>
      </c>
      <c r="L12" s="14">
        <v>99</v>
      </c>
      <c r="M12" s="16">
        <v>96</v>
      </c>
      <c r="N12" s="16">
        <v>96</v>
      </c>
      <c r="O12" s="16">
        <v>96</v>
      </c>
      <c r="P12" s="16">
        <v>96</v>
      </c>
      <c r="Q12" s="16">
        <v>98</v>
      </c>
      <c r="R12" s="16">
        <v>98</v>
      </c>
      <c r="S12" s="16">
        <v>98</v>
      </c>
      <c r="T12" s="16">
        <v>98</v>
      </c>
      <c r="U12" s="16">
        <v>96</v>
      </c>
      <c r="V12" s="16">
        <v>96</v>
      </c>
      <c r="W12" s="16">
        <v>96</v>
      </c>
      <c r="X12" s="16">
        <v>96</v>
      </c>
    </row>
    <row r="13" spans="1:24" x14ac:dyDescent="0.45">
      <c r="A13" s="17" t="s">
        <v>159</v>
      </c>
      <c r="B13" s="19" t="s">
        <v>67</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2C94-51AA-407E-9F11-609B648C72BD}">
  <dimension ref="A1:I6"/>
  <sheetViews>
    <sheetView tabSelected="1" workbookViewId="0">
      <selection activeCell="P6" sqref="P6"/>
    </sheetView>
  </sheetViews>
  <sheetFormatPr defaultRowHeight="17.5" x14ac:dyDescent="0.45"/>
  <sheetData>
    <row r="1" spans="1:9" x14ac:dyDescent="0.45">
      <c r="A1" s="44" t="s">
        <v>247</v>
      </c>
      <c r="B1" s="44"/>
      <c r="C1" s="44"/>
      <c r="D1" s="44"/>
      <c r="E1" s="44"/>
      <c r="F1" s="44"/>
      <c r="G1" s="44"/>
      <c r="H1" s="44"/>
      <c r="I1" s="44"/>
    </row>
    <row r="2" spans="1:9" x14ac:dyDescent="0.45">
      <c r="A2" s="44"/>
      <c r="B2" s="44"/>
      <c r="C2" s="44"/>
      <c r="D2" s="44"/>
      <c r="E2" s="44"/>
      <c r="F2" s="44"/>
      <c r="G2" s="44"/>
      <c r="H2" s="44"/>
      <c r="I2" s="44"/>
    </row>
    <row r="3" spans="1:9" x14ac:dyDescent="0.45">
      <c r="A3" s="44"/>
      <c r="B3" s="44"/>
      <c r="C3" s="44"/>
      <c r="D3" s="44"/>
      <c r="E3" s="44"/>
      <c r="F3" s="44"/>
      <c r="G3" s="44"/>
      <c r="H3" s="44"/>
      <c r="I3" s="44"/>
    </row>
    <row r="4" spans="1:9" x14ac:dyDescent="0.45">
      <c r="A4" s="44"/>
      <c r="B4" s="44"/>
      <c r="C4" s="44"/>
      <c r="D4" s="44"/>
      <c r="E4" s="44"/>
      <c r="F4" s="44"/>
      <c r="G4" s="44"/>
      <c r="H4" s="44"/>
      <c r="I4" s="44"/>
    </row>
    <row r="5" spans="1:9" x14ac:dyDescent="0.45">
      <c r="A5" s="44"/>
      <c r="B5" s="44"/>
      <c r="C5" s="44"/>
      <c r="D5" s="44"/>
      <c r="E5" s="44"/>
      <c r="F5" s="44"/>
      <c r="G5" s="44"/>
      <c r="H5" s="44"/>
      <c r="I5" s="44"/>
    </row>
    <row r="6" spans="1:9" ht="409.5" customHeight="1" x14ac:dyDescent="0.45">
      <c r="A6" s="44"/>
      <c r="B6" s="44"/>
      <c r="C6" s="44"/>
      <c r="D6" s="44"/>
      <c r="E6" s="44"/>
      <c r="F6" s="44"/>
      <c r="G6" s="44"/>
      <c r="H6" s="44"/>
      <c r="I6" s="44"/>
    </row>
  </sheetData>
  <mergeCells count="1">
    <mergeCell ref="A1:I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C0DE-8522-4829-9A26-3D0904794EAE}">
  <dimension ref="A2:B99"/>
  <sheetViews>
    <sheetView workbookViewId="0">
      <pane ySplit="1" topLeftCell="A26" activePane="bottomLeft" state="frozen"/>
      <selection pane="bottomLeft" activeCell="AB18" sqref="AB18"/>
    </sheetView>
  </sheetViews>
  <sheetFormatPr defaultRowHeight="17.5" x14ac:dyDescent="0.45"/>
  <cols>
    <col min="1" max="1" width="10.84375" style="1" bestFit="1" customWidth="1"/>
    <col min="2" max="2" width="5.07421875" style="1" bestFit="1" customWidth="1"/>
    <col min="3" max="3" width="2.69140625" style="1" bestFit="1" customWidth="1"/>
    <col min="4" max="11" width="2.23046875" style="1" bestFit="1" customWidth="1"/>
    <col min="12" max="27" width="3.23046875" style="1" bestFit="1" customWidth="1"/>
    <col min="28" max="16384" width="9.23046875" style="1"/>
  </cols>
  <sheetData>
    <row r="2" spans="1:2" x14ac:dyDescent="0.45">
      <c r="A2" s="1" t="s">
        <v>3</v>
      </c>
      <c r="B2" s="1" t="s">
        <v>2</v>
      </c>
    </row>
    <row r="3" spans="1:2" x14ac:dyDescent="0.45">
      <c r="A3" s="1" t="s">
        <v>4</v>
      </c>
      <c r="B3" s="1" t="s">
        <v>2</v>
      </c>
    </row>
    <row r="4" spans="1:2" x14ac:dyDescent="0.45">
      <c r="A4" s="1" t="s">
        <v>5</v>
      </c>
      <c r="B4" s="1" t="s">
        <v>2</v>
      </c>
    </row>
    <row r="5" spans="1:2" x14ac:dyDescent="0.45">
      <c r="A5" s="1" t="s">
        <v>6</v>
      </c>
      <c r="B5" s="1" t="s">
        <v>2</v>
      </c>
    </row>
    <row r="6" spans="1:2" x14ac:dyDescent="0.45">
      <c r="A6" s="1" t="s">
        <v>7</v>
      </c>
      <c r="B6" s="1" t="s">
        <v>2</v>
      </c>
    </row>
    <row r="7" spans="1:2" x14ac:dyDescent="0.45">
      <c r="A7" s="1" t="s">
        <v>8</v>
      </c>
      <c r="B7" s="1" t="s">
        <v>2</v>
      </c>
    </row>
    <row r="8" spans="1:2" x14ac:dyDescent="0.45">
      <c r="A8" s="1" t="s">
        <v>9</v>
      </c>
      <c r="B8" s="1" t="s">
        <v>2</v>
      </c>
    </row>
    <row r="9" spans="1:2" x14ac:dyDescent="0.45">
      <c r="A9" s="1" t="s">
        <v>10</v>
      </c>
      <c r="B9" s="1" t="s">
        <v>2</v>
      </c>
    </row>
    <row r="10" spans="1:2" x14ac:dyDescent="0.45">
      <c r="A10" s="1" t="s">
        <v>11</v>
      </c>
      <c r="B10" s="1" t="s">
        <v>2</v>
      </c>
    </row>
    <row r="11" spans="1:2" x14ac:dyDescent="0.45">
      <c r="A11" s="1" t="s">
        <v>12</v>
      </c>
      <c r="B11" s="1" t="s">
        <v>2</v>
      </c>
    </row>
    <row r="12" spans="1:2" x14ac:dyDescent="0.45">
      <c r="A12" s="1" t="s">
        <v>13</v>
      </c>
      <c r="B12" s="1" t="s">
        <v>2</v>
      </c>
    </row>
    <row r="13" spans="1:2" x14ac:dyDescent="0.45">
      <c r="A13" s="1" t="s">
        <v>14</v>
      </c>
      <c r="B13" s="1" t="s">
        <v>2</v>
      </c>
    </row>
    <row r="14" spans="1:2" x14ac:dyDescent="0.45">
      <c r="A14" s="1" t="s">
        <v>15</v>
      </c>
      <c r="B14" s="1" t="s">
        <v>2</v>
      </c>
    </row>
    <row r="15" spans="1:2" x14ac:dyDescent="0.45">
      <c r="A15" s="1" t="s">
        <v>16</v>
      </c>
      <c r="B15" s="1" t="s">
        <v>2</v>
      </c>
    </row>
    <row r="16" spans="1:2" x14ac:dyDescent="0.45">
      <c r="A16" s="1" t="s">
        <v>17</v>
      </c>
      <c r="B16" s="1" t="s">
        <v>2</v>
      </c>
    </row>
    <row r="17" spans="1:2" x14ac:dyDescent="0.45">
      <c r="A17" s="1" t="s">
        <v>18</v>
      </c>
      <c r="B17" s="1" t="s">
        <v>2</v>
      </c>
    </row>
    <row r="18" spans="1:2" x14ac:dyDescent="0.45">
      <c r="A18" s="1" t="s">
        <v>19</v>
      </c>
      <c r="B18" s="1" t="s">
        <v>2</v>
      </c>
    </row>
    <row r="19" spans="1:2" x14ac:dyDescent="0.45">
      <c r="A19" s="1" t="s">
        <v>20</v>
      </c>
      <c r="B19" s="1" t="s">
        <v>2</v>
      </c>
    </row>
    <row r="20" spans="1:2" x14ac:dyDescent="0.45">
      <c r="A20" s="1" t="s">
        <v>21</v>
      </c>
      <c r="B20" s="1" t="s">
        <v>2</v>
      </c>
    </row>
    <row r="21" spans="1:2" x14ac:dyDescent="0.45">
      <c r="A21" s="1" t="s">
        <v>22</v>
      </c>
      <c r="B21" s="1" t="s">
        <v>2</v>
      </c>
    </row>
    <row r="22" spans="1:2" x14ac:dyDescent="0.45">
      <c r="A22" s="1" t="s">
        <v>23</v>
      </c>
      <c r="B22" s="1" t="s">
        <v>2</v>
      </c>
    </row>
    <row r="23" spans="1:2" x14ac:dyDescent="0.45">
      <c r="A23" s="1" t="s">
        <v>24</v>
      </c>
      <c r="B23" s="1" t="s">
        <v>2</v>
      </c>
    </row>
    <row r="24" spans="1:2" x14ac:dyDescent="0.45">
      <c r="A24" s="1" t="s">
        <v>208</v>
      </c>
      <c r="B24" s="1" t="s">
        <v>2</v>
      </c>
    </row>
    <row r="25" spans="1:2" x14ac:dyDescent="0.45">
      <c r="A25" s="1" t="s">
        <v>26</v>
      </c>
      <c r="B25" s="1" t="s">
        <v>2</v>
      </c>
    </row>
    <row r="26" spans="1:2" x14ac:dyDescent="0.45">
      <c r="A26" s="1" t="s">
        <v>27</v>
      </c>
      <c r="B26" s="1" t="s">
        <v>2</v>
      </c>
    </row>
    <row r="27" spans="1:2" x14ac:dyDescent="0.45">
      <c r="A27" s="1" t="s">
        <v>28</v>
      </c>
      <c r="B27" s="1" t="s">
        <v>2</v>
      </c>
    </row>
    <row r="28" spans="1:2" x14ac:dyDescent="0.45">
      <c r="A28" s="1" t="s">
        <v>29</v>
      </c>
      <c r="B28" s="1" t="s">
        <v>2</v>
      </c>
    </row>
    <row r="29" spans="1:2" x14ac:dyDescent="0.45">
      <c r="A29" s="1" t="s">
        <v>30</v>
      </c>
      <c r="B29" s="1" t="s">
        <v>2</v>
      </c>
    </row>
    <row r="30" spans="1:2" x14ac:dyDescent="0.45">
      <c r="A30" s="1" t="s">
        <v>31</v>
      </c>
      <c r="B30" s="1" t="s">
        <v>2</v>
      </c>
    </row>
    <row r="31" spans="1:2" x14ac:dyDescent="0.45">
      <c r="A31" s="1" t="s">
        <v>32</v>
      </c>
      <c r="B31" s="1" t="s">
        <v>2</v>
      </c>
    </row>
    <row r="32" spans="1:2" x14ac:dyDescent="0.45">
      <c r="A32" s="1" t="s">
        <v>33</v>
      </c>
      <c r="B32" s="1" t="s">
        <v>2</v>
      </c>
    </row>
    <row r="33" spans="1:2" x14ac:dyDescent="0.45">
      <c r="A33" s="1" t="s">
        <v>34</v>
      </c>
      <c r="B33" s="1" t="s">
        <v>2</v>
      </c>
    </row>
    <row r="34" spans="1:2" x14ac:dyDescent="0.45">
      <c r="A34" s="1" t="s">
        <v>35</v>
      </c>
      <c r="B34" s="1" t="s">
        <v>2</v>
      </c>
    </row>
    <row r="35" spans="1:2" x14ac:dyDescent="0.45">
      <c r="A35" s="1" t="s">
        <v>36</v>
      </c>
      <c r="B35" s="1" t="s">
        <v>2</v>
      </c>
    </row>
    <row r="36" spans="1:2" x14ac:dyDescent="0.45">
      <c r="A36" s="1" t="s">
        <v>37</v>
      </c>
      <c r="B36" s="1" t="s">
        <v>2</v>
      </c>
    </row>
    <row r="37" spans="1:2" x14ac:dyDescent="0.45">
      <c r="A37" s="1" t="s">
        <v>38</v>
      </c>
      <c r="B37" s="1" t="s">
        <v>2</v>
      </c>
    </row>
    <row r="38" spans="1:2" x14ac:dyDescent="0.45">
      <c r="A38" s="1" t="s">
        <v>39</v>
      </c>
      <c r="B38" s="1" t="s">
        <v>2</v>
      </c>
    </row>
    <row r="39" spans="1:2" x14ac:dyDescent="0.45">
      <c r="A39" s="1" t="s">
        <v>40</v>
      </c>
      <c r="B39" s="1" t="s">
        <v>2</v>
      </c>
    </row>
    <row r="40" spans="1:2" x14ac:dyDescent="0.45">
      <c r="A40" s="1" t="s">
        <v>41</v>
      </c>
      <c r="B40" s="1" t="s">
        <v>2</v>
      </c>
    </row>
    <row r="41" spans="1:2" x14ac:dyDescent="0.45">
      <c r="A41" s="1" t="s">
        <v>42</v>
      </c>
      <c r="B41" s="1" t="s">
        <v>2</v>
      </c>
    </row>
    <row r="42" spans="1:2" x14ac:dyDescent="0.45">
      <c r="A42" s="1" t="s">
        <v>101</v>
      </c>
      <c r="B42" s="1" t="s">
        <v>2</v>
      </c>
    </row>
    <row r="43" spans="1:2" x14ac:dyDescent="0.45">
      <c r="A43" s="1" t="s">
        <v>121</v>
      </c>
      <c r="B43" s="1" t="s">
        <v>2</v>
      </c>
    </row>
    <row r="44" spans="1:2" x14ac:dyDescent="0.45">
      <c r="A44" s="1" t="s">
        <v>44</v>
      </c>
      <c r="B44" s="1" t="s">
        <v>43</v>
      </c>
    </row>
    <row r="45" spans="1:2" x14ac:dyDescent="0.45">
      <c r="A45" s="1" t="s">
        <v>45</v>
      </c>
      <c r="B45" s="1" t="s">
        <v>43</v>
      </c>
    </row>
    <row r="46" spans="1:2" x14ac:dyDescent="0.45">
      <c r="A46" s="1" t="s">
        <v>46</v>
      </c>
      <c r="B46" s="1" t="s">
        <v>43</v>
      </c>
    </row>
    <row r="47" spans="1:2" x14ac:dyDescent="0.45">
      <c r="A47" s="1" t="s">
        <v>47</v>
      </c>
      <c r="B47" s="1" t="s">
        <v>43</v>
      </c>
    </row>
    <row r="48" spans="1:2" x14ac:dyDescent="0.45">
      <c r="A48" s="1" t="s">
        <v>48</v>
      </c>
      <c r="B48" s="1" t="s">
        <v>43</v>
      </c>
    </row>
    <row r="49" spans="1:2" x14ac:dyDescent="0.45">
      <c r="A49" s="1" t="s">
        <v>49</v>
      </c>
      <c r="B49" s="1" t="s">
        <v>43</v>
      </c>
    </row>
    <row r="50" spans="1:2" x14ac:dyDescent="0.45">
      <c r="A50" s="1" t="s">
        <v>50</v>
      </c>
      <c r="B50" s="1" t="s">
        <v>43</v>
      </c>
    </row>
    <row r="51" spans="1:2" x14ac:dyDescent="0.45">
      <c r="A51" s="1" t="s">
        <v>51</v>
      </c>
      <c r="B51" s="1" t="s">
        <v>43</v>
      </c>
    </row>
    <row r="52" spans="1:2" x14ac:dyDescent="0.45">
      <c r="A52" s="1" t="s">
        <v>52</v>
      </c>
      <c r="B52" s="1" t="s">
        <v>43</v>
      </c>
    </row>
    <row r="53" spans="1:2" x14ac:dyDescent="0.45">
      <c r="A53" s="1" t="s">
        <v>53</v>
      </c>
      <c r="B53" s="1" t="s">
        <v>43</v>
      </c>
    </row>
    <row r="54" spans="1:2" x14ac:dyDescent="0.45">
      <c r="A54" s="1" t="s">
        <v>54</v>
      </c>
      <c r="B54" s="1" t="s">
        <v>43</v>
      </c>
    </row>
    <row r="55" spans="1:2" x14ac:dyDescent="0.45">
      <c r="A55" s="1" t="s">
        <v>55</v>
      </c>
      <c r="B55" s="1" t="s">
        <v>43</v>
      </c>
    </row>
    <row r="56" spans="1:2" x14ac:dyDescent="0.45">
      <c r="A56" s="1" t="s">
        <v>56</v>
      </c>
      <c r="B56" s="1" t="s">
        <v>43</v>
      </c>
    </row>
    <row r="57" spans="1:2" x14ac:dyDescent="0.45">
      <c r="A57" s="1" t="s">
        <v>57</v>
      </c>
      <c r="B57" s="1" t="s">
        <v>43</v>
      </c>
    </row>
    <row r="58" spans="1:2" x14ac:dyDescent="0.45">
      <c r="A58" s="1" t="s">
        <v>58</v>
      </c>
      <c r="B58" s="1" t="s">
        <v>43</v>
      </c>
    </row>
    <row r="59" spans="1:2" x14ac:dyDescent="0.45">
      <c r="A59" s="1" t="s">
        <v>59</v>
      </c>
      <c r="B59" s="1" t="s">
        <v>43</v>
      </c>
    </row>
    <row r="60" spans="1:2" x14ac:dyDescent="0.45">
      <c r="A60" s="1" t="s">
        <v>60</v>
      </c>
      <c r="B60" s="1" t="s">
        <v>43</v>
      </c>
    </row>
    <row r="61" spans="1:2" x14ac:dyDescent="0.45">
      <c r="A61" s="1" t="s">
        <v>61</v>
      </c>
      <c r="B61" s="1" t="s">
        <v>43</v>
      </c>
    </row>
    <row r="62" spans="1:2" x14ac:dyDescent="0.45">
      <c r="A62" s="1" t="s">
        <v>62</v>
      </c>
      <c r="B62" s="1" t="s">
        <v>43</v>
      </c>
    </row>
    <row r="63" spans="1:2" x14ac:dyDescent="0.45">
      <c r="A63" s="1" t="s">
        <v>63</v>
      </c>
      <c r="B63" s="1" t="s">
        <v>43</v>
      </c>
    </row>
    <row r="64" spans="1:2" x14ac:dyDescent="0.45">
      <c r="A64" s="1" t="s">
        <v>73</v>
      </c>
      <c r="B64" s="1" t="s">
        <v>165</v>
      </c>
    </row>
    <row r="65" spans="1:2" x14ac:dyDescent="0.45">
      <c r="A65" s="1" t="s">
        <v>74</v>
      </c>
      <c r="B65" s="1" t="s">
        <v>165</v>
      </c>
    </row>
    <row r="66" spans="1:2" x14ac:dyDescent="0.45">
      <c r="A66" s="1" t="s">
        <v>75</v>
      </c>
      <c r="B66" s="1" t="s">
        <v>165</v>
      </c>
    </row>
    <row r="67" spans="1:2" x14ac:dyDescent="0.45">
      <c r="A67" s="1" t="s">
        <v>76</v>
      </c>
      <c r="B67" s="1" t="s">
        <v>165</v>
      </c>
    </row>
    <row r="68" spans="1:2" x14ac:dyDescent="0.45">
      <c r="A68" s="1" t="s">
        <v>77</v>
      </c>
      <c r="B68" s="1" t="s">
        <v>165</v>
      </c>
    </row>
    <row r="69" spans="1:2" x14ac:dyDescent="0.45">
      <c r="A69" s="1" t="s">
        <v>78</v>
      </c>
      <c r="B69" s="1" t="s">
        <v>165</v>
      </c>
    </row>
    <row r="70" spans="1:2" x14ac:dyDescent="0.45">
      <c r="A70" s="1" t="s">
        <v>79</v>
      </c>
      <c r="B70" s="1" t="s">
        <v>165</v>
      </c>
    </row>
    <row r="71" spans="1:2" x14ac:dyDescent="0.45">
      <c r="A71" s="1" t="s">
        <v>80</v>
      </c>
      <c r="B71" s="1" t="s">
        <v>165</v>
      </c>
    </row>
    <row r="72" spans="1:2" x14ac:dyDescent="0.45">
      <c r="A72" s="1" t="s">
        <v>81</v>
      </c>
      <c r="B72" s="1" t="s">
        <v>165</v>
      </c>
    </row>
    <row r="73" spans="1:2" x14ac:dyDescent="0.45">
      <c r="A73" s="1" t="s">
        <v>82</v>
      </c>
      <c r="B73" s="1" t="s">
        <v>165</v>
      </c>
    </row>
    <row r="74" spans="1:2" x14ac:dyDescent="0.45">
      <c r="A74" s="1" t="s">
        <v>83</v>
      </c>
      <c r="B74" s="1" t="s">
        <v>165</v>
      </c>
    </row>
    <row r="75" spans="1:2" x14ac:dyDescent="0.45">
      <c r="A75" s="1" t="s">
        <v>84</v>
      </c>
      <c r="B75" s="1" t="s">
        <v>165</v>
      </c>
    </row>
    <row r="76" spans="1:2" x14ac:dyDescent="0.45">
      <c r="A76" s="1" t="s">
        <v>85</v>
      </c>
      <c r="B76" s="1" t="s">
        <v>165</v>
      </c>
    </row>
    <row r="77" spans="1:2" x14ac:dyDescent="0.45">
      <c r="A77" s="1" t="s">
        <v>86</v>
      </c>
      <c r="B77" s="1" t="s">
        <v>165</v>
      </c>
    </row>
    <row r="78" spans="1:2" x14ac:dyDescent="0.45">
      <c r="A78" s="1" t="s">
        <v>87</v>
      </c>
      <c r="B78" s="1" t="s">
        <v>165</v>
      </c>
    </row>
    <row r="79" spans="1:2" x14ac:dyDescent="0.45">
      <c r="A79" s="1" t="s">
        <v>88</v>
      </c>
      <c r="B79" s="1" t="s">
        <v>165</v>
      </c>
    </row>
    <row r="80" spans="1:2" x14ac:dyDescent="0.45">
      <c r="A80" s="1" t="s">
        <v>89</v>
      </c>
      <c r="B80" s="1" t="s">
        <v>165</v>
      </c>
    </row>
    <row r="81" spans="1:2" x14ac:dyDescent="0.45">
      <c r="A81" s="1" t="s">
        <v>90</v>
      </c>
      <c r="B81" s="1" t="s">
        <v>165</v>
      </c>
    </row>
    <row r="82" spans="1:2" x14ac:dyDescent="0.45">
      <c r="A82" s="1" t="s">
        <v>91</v>
      </c>
      <c r="B82" s="1" t="s">
        <v>165</v>
      </c>
    </row>
    <row r="83" spans="1:2" x14ac:dyDescent="0.45">
      <c r="A83" s="1" t="s">
        <v>92</v>
      </c>
      <c r="B83" s="1" t="s">
        <v>165</v>
      </c>
    </row>
    <row r="84" spans="1:2" x14ac:dyDescent="0.45">
      <c r="A84" s="1" t="s">
        <v>93</v>
      </c>
      <c r="B84" s="1" t="s">
        <v>165</v>
      </c>
    </row>
    <row r="85" spans="1:2" x14ac:dyDescent="0.45">
      <c r="A85" s="1" t="s">
        <v>94</v>
      </c>
      <c r="B85" s="1" t="s">
        <v>165</v>
      </c>
    </row>
    <row r="86" spans="1:2" x14ac:dyDescent="0.45">
      <c r="A86" s="1" t="s">
        <v>95</v>
      </c>
      <c r="B86" s="1" t="s">
        <v>165</v>
      </c>
    </row>
    <row r="87" spans="1:2" x14ac:dyDescent="0.45">
      <c r="A87" s="1" t="s">
        <v>96</v>
      </c>
      <c r="B87" s="1" t="s">
        <v>165</v>
      </c>
    </row>
    <row r="88" spans="1:2" x14ac:dyDescent="0.45">
      <c r="A88" s="1" t="s">
        <v>97</v>
      </c>
      <c r="B88" s="1" t="s">
        <v>165</v>
      </c>
    </row>
    <row r="89" spans="1:2" x14ac:dyDescent="0.45">
      <c r="A89" s="1" t="s">
        <v>98</v>
      </c>
      <c r="B89" s="1" t="s">
        <v>165</v>
      </c>
    </row>
    <row r="90" spans="1:2" x14ac:dyDescent="0.45">
      <c r="A90" s="1" t="s">
        <v>99</v>
      </c>
      <c r="B90" s="1" t="s">
        <v>165</v>
      </c>
    </row>
    <row r="91" spans="1:2" x14ac:dyDescent="0.45">
      <c r="A91" s="1" t="s">
        <v>118</v>
      </c>
      <c r="B91" s="1" t="s">
        <v>165</v>
      </c>
    </row>
    <row r="92" spans="1:2" x14ac:dyDescent="0.45">
      <c r="A92" s="1" t="s">
        <v>65</v>
      </c>
      <c r="B92" s="1" t="s">
        <v>64</v>
      </c>
    </row>
    <row r="93" spans="1:2" x14ac:dyDescent="0.45">
      <c r="A93" s="1" t="s">
        <v>66</v>
      </c>
      <c r="B93" s="1" t="s">
        <v>64</v>
      </c>
    </row>
    <row r="94" spans="1:2" x14ac:dyDescent="0.45">
      <c r="A94" s="1" t="s">
        <v>67</v>
      </c>
      <c r="B94" s="1" t="s">
        <v>64</v>
      </c>
    </row>
    <row r="95" spans="1:2" x14ac:dyDescent="0.45">
      <c r="A95" s="1" t="s">
        <v>68</v>
      </c>
      <c r="B95" s="1" t="s">
        <v>64</v>
      </c>
    </row>
    <row r="96" spans="1:2" x14ac:dyDescent="0.45">
      <c r="A96" s="1" t="s">
        <v>69</v>
      </c>
      <c r="B96" s="1" t="s">
        <v>64</v>
      </c>
    </row>
    <row r="97" spans="1:2" x14ac:dyDescent="0.45">
      <c r="A97" s="1" t="s">
        <v>70</v>
      </c>
      <c r="B97" s="1" t="s">
        <v>64</v>
      </c>
    </row>
    <row r="98" spans="1:2" x14ac:dyDescent="0.45">
      <c r="A98" s="1" t="s">
        <v>71</v>
      </c>
      <c r="B98" s="1" t="s">
        <v>64</v>
      </c>
    </row>
    <row r="99" spans="1:2" x14ac:dyDescent="0.45">
      <c r="A99" s="1" t="s">
        <v>72</v>
      </c>
      <c r="B99" s="1" t="s">
        <v>64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B074-2180-48DC-A148-610FF4FF7AB9}">
  <sheetPr>
    <tabColor rgb="FFFFC000"/>
  </sheetPr>
  <dimension ref="A2:X28"/>
  <sheetViews>
    <sheetView workbookViewId="0">
      <selection activeCell="Q29" sqref="Q29"/>
    </sheetView>
  </sheetViews>
  <sheetFormatPr defaultColWidth="9.765625" defaultRowHeight="17.5" x14ac:dyDescent="0.45"/>
  <cols>
    <col min="1" max="1" width="7.15234375" style="20" customWidth="1"/>
    <col min="2" max="16384" width="9.765625" style="20"/>
  </cols>
  <sheetData>
    <row r="2" spans="1:9" x14ac:dyDescent="0.45">
      <c r="A2" s="22" t="s">
        <v>166</v>
      </c>
      <c r="B2" s="22" t="s">
        <v>65</v>
      </c>
      <c r="D2" s="22" t="s">
        <v>105</v>
      </c>
      <c r="E2" s="22" t="str">
        <f>VLOOKUP(B2,'이름(명렬표)'!A2:B985,2,)</f>
        <v>IVY</v>
      </c>
    </row>
    <row r="4" spans="1:9" x14ac:dyDescent="0.45">
      <c r="F4" s="31" t="s">
        <v>183</v>
      </c>
      <c r="G4" s="32"/>
      <c r="H4" s="32"/>
      <c r="I4" s="33"/>
    </row>
    <row r="5" spans="1:9" ht="17.5" customHeight="1" x14ac:dyDescent="0.45">
      <c r="F5" s="35" t="s">
        <v>207</v>
      </c>
      <c r="G5" s="36"/>
      <c r="H5" s="36"/>
      <c r="I5" s="37"/>
    </row>
    <row r="6" spans="1:9" x14ac:dyDescent="0.45">
      <c r="B6" s="22"/>
      <c r="C6" s="22" t="s">
        <v>167</v>
      </c>
      <c r="D6" s="22" t="s">
        <v>168</v>
      </c>
      <c r="F6" s="38"/>
      <c r="G6" s="39"/>
      <c r="H6" s="39"/>
      <c r="I6" s="40"/>
    </row>
    <row r="7" spans="1:9" ht="30" x14ac:dyDescent="0.45">
      <c r="B7" s="22" t="str">
        <f>B2</f>
        <v>이수민4482</v>
      </c>
      <c r="C7" s="23">
        <f>VLOOKUP(B2,'중1(문법)'!$B$3:$AD$111,29,)</f>
        <v>65</v>
      </c>
      <c r="D7" s="23">
        <f>VLOOKUP(B2,'중1(독해)'!$A$2:$G$107,7,)</f>
        <v>82.5</v>
      </c>
      <c r="F7" s="38"/>
      <c r="G7" s="39"/>
      <c r="H7" s="39"/>
      <c r="I7" s="40"/>
    </row>
    <row r="8" spans="1:9" ht="30" x14ac:dyDescent="0.45">
      <c r="B8" s="22" t="s">
        <v>182</v>
      </c>
      <c r="C8" s="23">
        <f>VLOOKUP(E2,'중1(문법)'!$AF$2:$AG$5,2,)</f>
        <v>58.333333333333336</v>
      </c>
      <c r="D8" s="23">
        <f>VLOOKUP(E2,'중1(독해)'!$I$2:$J$5,2,)</f>
        <v>77.400000000000006</v>
      </c>
      <c r="F8" s="38"/>
      <c r="G8" s="39"/>
      <c r="H8" s="39"/>
      <c r="I8" s="40"/>
    </row>
    <row r="9" spans="1:9" x14ac:dyDescent="0.45">
      <c r="F9" s="38"/>
      <c r="G9" s="39"/>
      <c r="H9" s="39"/>
      <c r="I9" s="40"/>
    </row>
    <row r="10" spans="1:9" x14ac:dyDescent="0.45">
      <c r="F10" s="38"/>
      <c r="G10" s="39"/>
      <c r="H10" s="39"/>
      <c r="I10" s="40"/>
    </row>
    <row r="11" spans="1:9" x14ac:dyDescent="0.45">
      <c r="F11" s="38"/>
      <c r="G11" s="39"/>
      <c r="H11" s="39"/>
      <c r="I11" s="40"/>
    </row>
    <row r="12" spans="1:9" x14ac:dyDescent="0.45">
      <c r="F12" s="41"/>
      <c r="G12" s="42"/>
      <c r="H12" s="42"/>
      <c r="I12" s="43"/>
    </row>
    <row r="14" spans="1:9" x14ac:dyDescent="0.45">
      <c r="C14" s="34" t="s">
        <v>241</v>
      </c>
      <c r="D14" s="34"/>
      <c r="F14" s="31" t="s">
        <v>242</v>
      </c>
      <c r="G14" s="32"/>
      <c r="H14" s="32"/>
      <c r="I14" s="33"/>
    </row>
    <row r="15" spans="1:9" x14ac:dyDescent="0.45">
      <c r="C15" s="22" t="s">
        <v>167</v>
      </c>
      <c r="D15" s="22" t="s">
        <v>168</v>
      </c>
      <c r="F15" s="20" t="str">
        <f>VLOOKUP(E2,'중1(문법)(영역별 성취도)'!$AG$3:$AK$6,2,)</f>
        <v>완료시제</v>
      </c>
      <c r="G15" s="20" t="str">
        <f>VLOOKUP(E2,'중1(문법)(영역별 성취도)'!$AG$3:$AK$6,3,)</f>
        <v>수동태</v>
      </c>
      <c r="H15" s="20" t="str">
        <f>VLOOKUP(E2,'중1(문법)(영역별 성취도)'!$AG$3:$AK$6,4,)</f>
        <v>비교</v>
      </c>
      <c r="I15" s="20" t="str">
        <f>VLOOKUP(E2,'중1(문법)(영역별 성취도)'!$AG$3:$AK$6,5,)</f>
        <v>접속사</v>
      </c>
    </row>
    <row r="16" spans="1:9" x14ac:dyDescent="0.45">
      <c r="C16" s="30">
        <f>VLOOKUP(B2,'중1(문법)'!$B$3:$AJ$111,34,)</f>
        <v>0.92</v>
      </c>
      <c r="D16" s="30">
        <f>VLOOKUP(B2,'중1(문법)'!$B$3:$AJ$111,35,)</f>
        <v>0.95</v>
      </c>
      <c r="F16" s="29">
        <f>VLOOKUP(B2,'중1(문법)(영역별 성취도)'!$B$3:$AF$111,28,)</f>
        <v>0.66666666666666663</v>
      </c>
      <c r="G16" s="29">
        <f>VLOOKUP(B2,'중1(문법)(영역별 성취도)'!$B$3:$AF$111,29,)</f>
        <v>1</v>
      </c>
      <c r="H16" s="29">
        <f>VLOOKUP(B2,'중1(문법)(영역별 성취도)'!$B$3:$AF$111,30,)</f>
        <v>1</v>
      </c>
      <c r="I16" s="29">
        <f>VLOOKUP(B2,'중1(문법)(영역별 성취도)'!$B$3:$AF$111,31,)</f>
        <v>1</v>
      </c>
    </row>
    <row r="23" spans="2:24" x14ac:dyDescent="0.45">
      <c r="B23" s="34" t="s">
        <v>206</v>
      </c>
      <c r="C23" s="34"/>
      <c r="D23" s="34"/>
      <c r="E23" s="34"/>
      <c r="F23" s="34"/>
      <c r="G23" s="34"/>
      <c r="H23" s="34"/>
      <c r="I23" s="34"/>
      <c r="J23" s="34"/>
      <c r="K23" s="34"/>
      <c r="L23" s="34"/>
    </row>
    <row r="24" spans="2:24" x14ac:dyDescent="0.45">
      <c r="B24" s="25" t="s">
        <v>184</v>
      </c>
      <c r="C24" s="25" t="s">
        <v>185</v>
      </c>
      <c r="D24" s="25" t="s">
        <v>186</v>
      </c>
      <c r="E24" s="25" t="s">
        <v>187</v>
      </c>
      <c r="F24" s="25" t="s">
        <v>188</v>
      </c>
      <c r="G24" s="25" t="s">
        <v>189</v>
      </c>
      <c r="H24" s="25" t="s">
        <v>190</v>
      </c>
      <c r="I24" s="25" t="s">
        <v>191</v>
      </c>
      <c r="J24" s="25" t="s">
        <v>192</v>
      </c>
      <c r="K24" s="25" t="s">
        <v>193</v>
      </c>
      <c r="L24" s="25" t="s">
        <v>194</v>
      </c>
      <c r="M24" s="24" t="s">
        <v>195</v>
      </c>
      <c r="N24" s="24" t="s">
        <v>196</v>
      </c>
      <c r="O24" s="24" t="s">
        <v>197</v>
      </c>
      <c r="P24" s="24" t="s">
        <v>198</v>
      </c>
      <c r="Q24" s="24" t="s">
        <v>199</v>
      </c>
      <c r="R24" s="24" t="s">
        <v>200</v>
      </c>
      <c r="S24" s="24" t="s">
        <v>201</v>
      </c>
      <c r="T24" s="24" t="s">
        <v>202</v>
      </c>
      <c r="U24" s="24" t="s">
        <v>203</v>
      </c>
      <c r="V24" s="24" t="s">
        <v>204</v>
      </c>
      <c r="W24" s="24" t="s">
        <v>205</v>
      </c>
      <c r="X24" s="24"/>
    </row>
    <row r="25" spans="2:24" x14ac:dyDescent="0.45">
      <c r="B25" s="22">
        <f>VLOOKUP($B$2,'중1(단어누적)'!$B$1:$X$103,2,)</f>
        <v>98.75</v>
      </c>
      <c r="C25" s="22">
        <f>VLOOKUP($B$2,'중1(단어누적)'!$B$1:$X$103,3,)</f>
        <v>98.75</v>
      </c>
      <c r="D25" s="22">
        <f>VLOOKUP($B$2,'중1(단어누적)'!$B$1:$X$103,4,)</f>
        <v>97</v>
      </c>
      <c r="E25" s="22">
        <f>VLOOKUP($B$2,'중1(단어누적)'!$B$1:$X$103,5,)</f>
        <v>97</v>
      </c>
      <c r="F25" s="22">
        <f>VLOOKUP($B$2,'중1(단어누적)'!$B$1:$X$103,6,)</f>
        <v>97</v>
      </c>
      <c r="G25" s="22">
        <f>VLOOKUP($B$2,'중1(단어누적)'!$B$1:$X$103,7,)</f>
        <v>97</v>
      </c>
      <c r="H25" s="22">
        <f>VLOOKUP($B$2,'중1(단어누적)'!$B$1:$X$103,8,)</f>
        <v>95</v>
      </c>
      <c r="I25" s="22">
        <f>VLOOKUP($B$2,'중1(단어누적)'!$B$1:$X$103,9,)</f>
        <v>95</v>
      </c>
      <c r="J25" s="22">
        <f>VLOOKUP($B$2,'중1(단어누적)'!$B$1:$X$103,10,)</f>
        <v>95</v>
      </c>
      <c r="K25" s="22">
        <f>VLOOKUP($B$2,'중1(단어누적)'!$B$1:$X$103,11,)</f>
        <v>95</v>
      </c>
      <c r="L25" s="22">
        <f>VLOOKUP($B$2,'중1(단어누적)'!$B$1:$X$103,12,)</f>
        <v>99</v>
      </c>
      <c r="M25" s="24">
        <f>VLOOKUP($B$2,'중1(단어누적)'!$B$1:$X$103,13,)</f>
        <v>99</v>
      </c>
      <c r="N25" s="24">
        <f>VLOOKUP($B$2,'중1(단어누적)'!$B$1:$X$103,14,)</f>
        <v>99</v>
      </c>
      <c r="O25" s="24">
        <f>VLOOKUP($B$2,'중1(단어누적)'!$B$1:$X$103,15,)</f>
        <v>99</v>
      </c>
      <c r="P25" s="24">
        <f>VLOOKUP($B$2,'중1(단어누적)'!$B$1:$X$103,16,)</f>
        <v>92</v>
      </c>
      <c r="Q25" s="24">
        <f>VLOOKUP($B$2,'중1(단어누적)'!$B$1:$X$103,17,)</f>
        <v>92</v>
      </c>
      <c r="R25" s="24">
        <f>VLOOKUP($B$2,'중1(단어누적)'!$B$1:$X$103,18,)</f>
        <v>92</v>
      </c>
      <c r="S25" s="24">
        <f>VLOOKUP($B$2,'중1(단어누적)'!$B$1:$X$103,19,)</f>
        <v>92</v>
      </c>
      <c r="T25" s="24">
        <f>VLOOKUP($B$2,'중1(단어누적)'!$B$1:$X$103,20,)</f>
        <v>98</v>
      </c>
      <c r="U25" s="24">
        <f>VLOOKUP($B$2,'중1(단어누적)'!$B$1:$X$103,21,)</f>
        <v>98</v>
      </c>
      <c r="V25" s="24">
        <f>VLOOKUP($B$2,'중1(단어누적)'!$B$1:$X$103,22,)</f>
        <v>98</v>
      </c>
      <c r="W25" s="24">
        <f>VLOOKUP($B$2,'중1(단어누적)'!$B$1:$X$103,23,)</f>
        <v>98</v>
      </c>
      <c r="X25" s="24"/>
    </row>
    <row r="26" spans="2:24" x14ac:dyDescent="0.45">
      <c r="B26" s="25" t="s">
        <v>195</v>
      </c>
      <c r="C26" s="25" t="s">
        <v>196</v>
      </c>
      <c r="D26" s="25" t="s">
        <v>197</v>
      </c>
      <c r="E26" s="25" t="s">
        <v>198</v>
      </c>
      <c r="F26" s="25" t="s">
        <v>199</v>
      </c>
      <c r="G26" s="25" t="s">
        <v>200</v>
      </c>
      <c r="H26" s="25" t="s">
        <v>201</v>
      </c>
      <c r="I26" s="25" t="s">
        <v>202</v>
      </c>
      <c r="J26" s="25" t="s">
        <v>203</v>
      </c>
      <c r="K26" s="25" t="s">
        <v>204</v>
      </c>
      <c r="L26" s="25" t="s">
        <v>205</v>
      </c>
      <c r="M26" s="24"/>
      <c r="N26" s="24"/>
      <c r="O26" s="24"/>
      <c r="P26" s="24"/>
      <c r="Q26" s="24"/>
      <c r="R26" s="24"/>
      <c r="S26" s="24"/>
      <c r="T26" s="24"/>
      <c r="U26" s="24"/>
      <c r="V26" s="24"/>
      <c r="W26" s="24"/>
      <c r="X26" s="24"/>
    </row>
    <row r="27" spans="2:24" x14ac:dyDescent="0.45">
      <c r="B27" s="22">
        <f>VLOOKUP($B$2,'중1(단어누적)'!$B$1:$X$103,13,)</f>
        <v>99</v>
      </c>
      <c r="C27" s="22">
        <f>VLOOKUP($B$2,'중1(단어누적)'!$B$1:$X$103,14,)</f>
        <v>99</v>
      </c>
      <c r="D27" s="22">
        <f>VLOOKUP($B$2,'중1(단어누적)'!$B$1:$X$103,15,)</f>
        <v>99</v>
      </c>
      <c r="E27" s="22">
        <f>VLOOKUP($B$2,'중1(단어누적)'!$B$1:$X$103,16,)</f>
        <v>92</v>
      </c>
      <c r="F27" s="22">
        <f>VLOOKUP($B$2,'중1(단어누적)'!$B$1:$X$103,17,)</f>
        <v>92</v>
      </c>
      <c r="G27" s="22">
        <f>VLOOKUP($B$2,'중1(단어누적)'!$B$1:$X$103,18,)</f>
        <v>92</v>
      </c>
      <c r="H27" s="22">
        <f>VLOOKUP($B$2,'중1(단어누적)'!$B$1:$X$103,19,)</f>
        <v>92</v>
      </c>
      <c r="I27" s="22">
        <f>VLOOKUP($B$2,'중1(단어누적)'!$B$1:$X$103,20,)</f>
        <v>98</v>
      </c>
      <c r="J27" s="22">
        <f>VLOOKUP($B$2,'중1(단어누적)'!$B$1:$X$103,21,)</f>
        <v>98</v>
      </c>
      <c r="K27" s="22">
        <f>VLOOKUP($B$2,'중1(단어누적)'!$B$1:$X$103,22,)</f>
        <v>98</v>
      </c>
      <c r="L27" s="22">
        <f>VLOOKUP($B$2,'중1(단어누적)'!$B$1:$X$103,23,)</f>
        <v>98</v>
      </c>
      <c r="M27" s="24"/>
      <c r="N27" s="24"/>
      <c r="O27" s="24"/>
      <c r="P27" s="24"/>
      <c r="Q27" s="24"/>
      <c r="R27" s="24"/>
      <c r="S27" s="24"/>
      <c r="T27" s="24"/>
      <c r="U27" s="24"/>
      <c r="V27" s="24"/>
      <c r="W27" s="24"/>
      <c r="X27" s="24"/>
    </row>
    <row r="28" spans="2:24" x14ac:dyDescent="0.45">
      <c r="M28" s="24"/>
      <c r="N28" s="24"/>
      <c r="O28" s="24"/>
      <c r="P28" s="24"/>
      <c r="Q28" s="24"/>
      <c r="R28" s="24"/>
      <c r="S28" s="24"/>
      <c r="T28" s="24"/>
      <c r="U28" s="24"/>
      <c r="V28" s="24"/>
      <c r="W28" s="24"/>
      <c r="X28" s="24"/>
    </row>
  </sheetData>
  <mergeCells count="5">
    <mergeCell ref="F4:I4"/>
    <mergeCell ref="F14:I14"/>
    <mergeCell ref="B23:L23"/>
    <mergeCell ref="C14:D14"/>
    <mergeCell ref="F5:I12"/>
  </mergeCells>
  <phoneticPr fontId="1" type="noConversion"/>
  <dataValidations count="1">
    <dataValidation type="list" allowBlank="1" showInputMessage="1" showErrorMessage="1" sqref="B2" xr:uid="{A99FA824-82E1-4E88-98E2-400F51B362C1}">
      <formula1>이름</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9E0B-222A-4D39-B980-6AD760D5146E}">
  <sheetPr>
    <tabColor rgb="FFFFFF00"/>
  </sheetPr>
  <dimension ref="A1:AJ111"/>
  <sheetViews>
    <sheetView topLeftCell="A58" workbookViewId="0">
      <selection activeCell="S25" sqref="S25"/>
    </sheetView>
  </sheetViews>
  <sheetFormatPr defaultRowHeight="17.5" x14ac:dyDescent="0.45"/>
  <cols>
    <col min="1" max="1" width="5.07421875" bestFit="1" customWidth="1"/>
    <col min="2" max="2" width="10.84375" bestFit="1" customWidth="1"/>
    <col min="3" max="11" width="3.69140625" bestFit="1" customWidth="1"/>
    <col min="12" max="27" width="4.69140625" bestFit="1" customWidth="1"/>
    <col min="28" max="29" width="15.61328125" bestFit="1" customWidth="1"/>
    <col min="35" max="35" width="18.3828125" bestFit="1" customWidth="1"/>
    <col min="36" max="36" width="17.765625" bestFit="1" customWidth="1"/>
  </cols>
  <sheetData>
    <row r="1" spans="1:36" x14ac:dyDescent="0.45">
      <c r="C1" t="s">
        <v>106</v>
      </c>
      <c r="D1" t="s">
        <v>107</v>
      </c>
      <c r="E1" t="s">
        <v>108</v>
      </c>
      <c r="F1" t="s">
        <v>108</v>
      </c>
      <c r="G1" t="s">
        <v>108</v>
      </c>
      <c r="H1" t="s">
        <v>106</v>
      </c>
      <c r="I1" t="s">
        <v>107</v>
      </c>
      <c r="J1" t="s">
        <v>108</v>
      </c>
      <c r="K1" t="s">
        <v>106</v>
      </c>
      <c r="L1" t="s">
        <v>107</v>
      </c>
      <c r="M1" t="s">
        <v>108</v>
      </c>
      <c r="N1" t="s">
        <v>108</v>
      </c>
      <c r="O1" t="s">
        <v>108</v>
      </c>
      <c r="P1" t="s">
        <v>108</v>
      </c>
      <c r="Q1" t="s">
        <v>108</v>
      </c>
      <c r="R1" t="s">
        <v>106</v>
      </c>
      <c r="S1" t="s">
        <v>107</v>
      </c>
      <c r="T1" t="s">
        <v>108</v>
      </c>
      <c r="U1" t="s">
        <v>108</v>
      </c>
      <c r="V1" t="s">
        <v>106</v>
      </c>
      <c r="W1" t="s">
        <v>107</v>
      </c>
      <c r="X1" t="s">
        <v>108</v>
      </c>
      <c r="Y1" t="s">
        <v>108</v>
      </c>
      <c r="Z1" t="s">
        <v>108</v>
      </c>
      <c r="AA1" t="s">
        <v>107</v>
      </c>
      <c r="AF1" s="20" t="s">
        <v>179</v>
      </c>
    </row>
    <row r="2" spans="1:36" x14ac:dyDescent="0.45">
      <c r="A2" t="s">
        <v>0</v>
      </c>
      <c r="B2" t="s">
        <v>1</v>
      </c>
      <c r="C2" t="s">
        <v>209</v>
      </c>
      <c r="D2" t="s">
        <v>210</v>
      </c>
      <c r="E2" t="s">
        <v>211</v>
      </c>
      <c r="F2" t="s">
        <v>212</v>
      </c>
      <c r="G2" t="s">
        <v>213</v>
      </c>
      <c r="H2" t="s">
        <v>214</v>
      </c>
      <c r="I2" t="s">
        <v>215</v>
      </c>
      <c r="J2" t="s">
        <v>216</v>
      </c>
      <c r="K2" t="s">
        <v>217</v>
      </c>
      <c r="L2" t="s">
        <v>218</v>
      </c>
      <c r="M2" t="s">
        <v>219</v>
      </c>
      <c r="N2" t="s">
        <v>220</v>
      </c>
      <c r="O2" t="s">
        <v>221</v>
      </c>
      <c r="P2" t="s">
        <v>222</v>
      </c>
      <c r="Q2" t="s">
        <v>223</v>
      </c>
      <c r="R2" t="s">
        <v>224</v>
      </c>
      <c r="S2" t="s">
        <v>225</v>
      </c>
      <c r="T2" t="s">
        <v>226</v>
      </c>
      <c r="U2" t="s">
        <v>227</v>
      </c>
      <c r="V2" t="s">
        <v>228</v>
      </c>
      <c r="W2" t="s">
        <v>229</v>
      </c>
      <c r="X2" t="s">
        <v>230</v>
      </c>
      <c r="Y2" t="s">
        <v>231</v>
      </c>
      <c r="Z2" t="s">
        <v>232</v>
      </c>
      <c r="AA2" t="s">
        <v>233</v>
      </c>
      <c r="AB2" t="s">
        <v>236</v>
      </c>
      <c r="AC2" t="s">
        <v>237</v>
      </c>
      <c r="AF2" s="20" t="s">
        <v>2</v>
      </c>
      <c r="AG2" s="27">
        <v>52.5</v>
      </c>
      <c r="AI2" t="s">
        <v>239</v>
      </c>
      <c r="AJ2" t="s">
        <v>240</v>
      </c>
    </row>
    <row r="3" spans="1:36" x14ac:dyDescent="0.45">
      <c r="A3" t="s">
        <v>2</v>
      </c>
      <c r="B3" t="s">
        <v>120</v>
      </c>
      <c r="C3" t="s">
        <v>234</v>
      </c>
      <c r="D3" t="s">
        <v>235</v>
      </c>
      <c r="E3" t="s">
        <v>235</v>
      </c>
      <c r="F3" t="s">
        <v>235</v>
      </c>
      <c r="G3" t="s">
        <v>235</v>
      </c>
      <c r="H3" t="s">
        <v>235</v>
      </c>
      <c r="I3" t="s">
        <v>235</v>
      </c>
      <c r="J3" t="s">
        <v>235</v>
      </c>
      <c r="K3" t="s">
        <v>235</v>
      </c>
      <c r="L3" t="s">
        <v>235</v>
      </c>
      <c r="M3" t="s">
        <v>235</v>
      </c>
      <c r="N3" t="s">
        <v>235</v>
      </c>
      <c r="O3" t="s">
        <v>235</v>
      </c>
      <c r="P3" t="s">
        <v>235</v>
      </c>
      <c r="Q3" t="s">
        <v>234</v>
      </c>
      <c r="R3" t="s">
        <v>235</v>
      </c>
      <c r="S3" t="s">
        <v>234</v>
      </c>
      <c r="T3" t="s">
        <v>235</v>
      </c>
      <c r="U3" t="s">
        <v>235</v>
      </c>
      <c r="V3" t="s">
        <v>235</v>
      </c>
      <c r="W3" t="s">
        <v>234</v>
      </c>
      <c r="X3" t="s">
        <v>235</v>
      </c>
      <c r="Y3" t="s">
        <v>235</v>
      </c>
      <c r="Z3" t="s">
        <v>235</v>
      </c>
      <c r="AA3" t="s">
        <v>235</v>
      </c>
      <c r="AB3">
        <f>(COUNTIF(C3:AA3,"O")*2)</f>
        <v>42</v>
      </c>
      <c r="AC3">
        <f>VLOOKUP(B3,'중1FO(문법주관식)'!$B$2:$H$43,7,)</f>
        <v>17</v>
      </c>
      <c r="AD3">
        <f>SUM(AB3:AC3)</f>
        <v>59</v>
      </c>
      <c r="AF3" s="20" t="s">
        <v>43</v>
      </c>
      <c r="AG3" s="27">
        <v>41.625</v>
      </c>
      <c r="AI3" s="28">
        <f>(AB3/50)</f>
        <v>0.84</v>
      </c>
      <c r="AJ3" s="28">
        <f>(AC3/20)</f>
        <v>0.85</v>
      </c>
    </row>
    <row r="4" spans="1:36" x14ac:dyDescent="0.45">
      <c r="A4" t="s">
        <v>2</v>
      </c>
      <c r="B4" t="s">
        <v>119</v>
      </c>
      <c r="C4" t="s">
        <v>235</v>
      </c>
      <c r="D4" t="s">
        <v>235</v>
      </c>
      <c r="E4" t="s">
        <v>235</v>
      </c>
      <c r="F4" t="s">
        <v>235</v>
      </c>
      <c r="G4" t="s">
        <v>235</v>
      </c>
      <c r="H4" t="s">
        <v>235</v>
      </c>
      <c r="I4" t="s">
        <v>235</v>
      </c>
      <c r="J4" t="s">
        <v>235</v>
      </c>
      <c r="K4" t="s">
        <v>234</v>
      </c>
      <c r="L4" t="s">
        <v>235</v>
      </c>
      <c r="M4" t="s">
        <v>235</v>
      </c>
      <c r="N4" t="s">
        <v>235</v>
      </c>
      <c r="O4" t="s">
        <v>235</v>
      </c>
      <c r="P4" t="s">
        <v>235</v>
      </c>
      <c r="Q4" t="s">
        <v>235</v>
      </c>
      <c r="R4" t="s">
        <v>235</v>
      </c>
      <c r="S4" t="s">
        <v>235</v>
      </c>
      <c r="T4" t="s">
        <v>235</v>
      </c>
      <c r="U4" t="s">
        <v>235</v>
      </c>
      <c r="V4" t="s">
        <v>234</v>
      </c>
      <c r="W4" t="s">
        <v>235</v>
      </c>
      <c r="X4" t="s">
        <v>234</v>
      </c>
      <c r="Y4" t="s">
        <v>235</v>
      </c>
      <c r="Z4" t="s">
        <v>234</v>
      </c>
      <c r="AA4" t="s">
        <v>234</v>
      </c>
      <c r="AB4">
        <f t="shared" ref="AB4:AB67" si="0">(COUNTIF(C4:AA4,"O")*2)</f>
        <v>40</v>
      </c>
      <c r="AC4">
        <f>VLOOKUP(B4,'중1FO(문법주관식)'!$B$2:$H$43,7,)</f>
        <v>18</v>
      </c>
      <c r="AD4">
        <f t="shared" ref="AD4:AD67" si="1">SUM(AB4:AC4)</f>
        <v>58</v>
      </c>
      <c r="AF4" s="20" t="s">
        <v>164</v>
      </c>
      <c r="AG4" s="27">
        <v>54.535714285714285</v>
      </c>
      <c r="AI4" s="28">
        <f t="shared" ref="AI4:AI67" si="2">(AB4/50)</f>
        <v>0.8</v>
      </c>
      <c r="AJ4" s="28">
        <f t="shared" ref="AJ4:AJ67" si="3">(AC4/20)</f>
        <v>0.9</v>
      </c>
    </row>
    <row r="5" spans="1:36" x14ac:dyDescent="0.45">
      <c r="A5" t="s">
        <v>2</v>
      </c>
      <c r="B5" t="s">
        <v>3</v>
      </c>
      <c r="C5" t="s">
        <v>235</v>
      </c>
      <c r="D5" t="s">
        <v>234</v>
      </c>
      <c r="E5" t="s">
        <v>235</v>
      </c>
      <c r="F5" t="s">
        <v>235</v>
      </c>
      <c r="G5" t="s">
        <v>235</v>
      </c>
      <c r="H5" t="s">
        <v>235</v>
      </c>
      <c r="I5" t="s">
        <v>235</v>
      </c>
      <c r="J5" t="s">
        <v>235</v>
      </c>
      <c r="K5" t="s">
        <v>235</v>
      </c>
      <c r="L5" t="s">
        <v>235</v>
      </c>
      <c r="M5" t="s">
        <v>235</v>
      </c>
      <c r="N5" t="s">
        <v>235</v>
      </c>
      <c r="O5" t="s">
        <v>235</v>
      </c>
      <c r="P5" t="s">
        <v>235</v>
      </c>
      <c r="Q5" t="s">
        <v>235</v>
      </c>
      <c r="R5" t="s">
        <v>235</v>
      </c>
      <c r="S5" t="s">
        <v>234</v>
      </c>
      <c r="T5" t="s">
        <v>235</v>
      </c>
      <c r="U5" t="s">
        <v>235</v>
      </c>
      <c r="V5" t="s">
        <v>235</v>
      </c>
      <c r="W5" t="s">
        <v>235</v>
      </c>
      <c r="X5" t="s">
        <v>234</v>
      </c>
      <c r="Y5" t="s">
        <v>235</v>
      </c>
      <c r="Z5" t="s">
        <v>235</v>
      </c>
      <c r="AA5" t="s">
        <v>235</v>
      </c>
      <c r="AB5">
        <f t="shared" si="0"/>
        <v>44</v>
      </c>
      <c r="AC5">
        <f>VLOOKUP(B5,'중1FO(문법주관식)'!$B$2:$H$43,7,)</f>
        <v>20</v>
      </c>
      <c r="AD5">
        <f t="shared" si="1"/>
        <v>64</v>
      </c>
      <c r="AF5" s="20" t="s">
        <v>64</v>
      </c>
      <c r="AG5" s="27">
        <v>58.333333333333336</v>
      </c>
      <c r="AI5" s="28">
        <f t="shared" si="2"/>
        <v>0.88</v>
      </c>
      <c r="AJ5" s="28">
        <f t="shared" si="3"/>
        <v>1</v>
      </c>
    </row>
    <row r="6" spans="1:36" x14ac:dyDescent="0.45">
      <c r="A6" t="s">
        <v>2</v>
      </c>
      <c r="B6" t="s">
        <v>4</v>
      </c>
      <c r="C6" t="s">
        <v>234</v>
      </c>
      <c r="D6" t="s">
        <v>234</v>
      </c>
      <c r="E6" t="s">
        <v>234</v>
      </c>
      <c r="F6" t="s">
        <v>235</v>
      </c>
      <c r="G6" t="s">
        <v>235</v>
      </c>
      <c r="H6" t="s">
        <v>235</v>
      </c>
      <c r="I6" t="s">
        <v>235</v>
      </c>
      <c r="J6" t="s">
        <v>234</v>
      </c>
      <c r="K6" t="s">
        <v>235</v>
      </c>
      <c r="L6" t="s">
        <v>234</v>
      </c>
      <c r="M6" t="s">
        <v>235</v>
      </c>
      <c r="N6" t="s">
        <v>235</v>
      </c>
      <c r="O6" t="s">
        <v>235</v>
      </c>
      <c r="P6" t="s">
        <v>235</v>
      </c>
      <c r="Q6" t="s">
        <v>235</v>
      </c>
      <c r="R6" t="s">
        <v>235</v>
      </c>
      <c r="S6" t="s">
        <v>235</v>
      </c>
      <c r="T6" t="s">
        <v>234</v>
      </c>
      <c r="U6" t="s">
        <v>235</v>
      </c>
      <c r="V6" t="s">
        <v>235</v>
      </c>
      <c r="W6" t="s">
        <v>235</v>
      </c>
      <c r="X6" t="s">
        <v>234</v>
      </c>
      <c r="Y6" t="s">
        <v>235</v>
      </c>
      <c r="Z6" t="s">
        <v>235</v>
      </c>
      <c r="AA6" t="s">
        <v>235</v>
      </c>
      <c r="AB6">
        <f t="shared" si="0"/>
        <v>36</v>
      </c>
      <c r="AC6">
        <f>VLOOKUP(B6,'중1FO(문법주관식)'!$B$2:$H$43,7,)</f>
        <v>14</v>
      </c>
      <c r="AD6">
        <f t="shared" si="1"/>
        <v>50</v>
      </c>
      <c r="AI6" s="28">
        <f t="shared" si="2"/>
        <v>0.72</v>
      </c>
      <c r="AJ6" s="28">
        <f t="shared" si="3"/>
        <v>0.7</v>
      </c>
    </row>
    <row r="7" spans="1:36" x14ac:dyDescent="0.45">
      <c r="A7" t="s">
        <v>2</v>
      </c>
      <c r="B7" t="s">
        <v>5</v>
      </c>
      <c r="C7" t="s">
        <v>235</v>
      </c>
      <c r="D7" t="s">
        <v>235</v>
      </c>
      <c r="E7" t="s">
        <v>235</v>
      </c>
      <c r="F7" t="s">
        <v>235</v>
      </c>
      <c r="G7" t="s">
        <v>235</v>
      </c>
      <c r="H7" t="s">
        <v>235</v>
      </c>
      <c r="I7" t="s">
        <v>235</v>
      </c>
      <c r="J7" t="s">
        <v>235</v>
      </c>
      <c r="K7" t="s">
        <v>235</v>
      </c>
      <c r="L7" t="s">
        <v>235</v>
      </c>
      <c r="M7" t="s">
        <v>235</v>
      </c>
      <c r="N7" t="s">
        <v>235</v>
      </c>
      <c r="O7" t="s">
        <v>235</v>
      </c>
      <c r="P7" t="s">
        <v>235</v>
      </c>
      <c r="Q7" t="s">
        <v>234</v>
      </c>
      <c r="R7" t="s">
        <v>235</v>
      </c>
      <c r="S7" t="s">
        <v>234</v>
      </c>
      <c r="T7" t="s">
        <v>235</v>
      </c>
      <c r="U7" t="s">
        <v>235</v>
      </c>
      <c r="V7" t="s">
        <v>235</v>
      </c>
      <c r="W7" t="s">
        <v>235</v>
      </c>
      <c r="X7" t="s">
        <v>235</v>
      </c>
      <c r="Y7" t="s">
        <v>234</v>
      </c>
      <c r="Z7" t="s">
        <v>234</v>
      </c>
      <c r="AA7" t="s">
        <v>234</v>
      </c>
      <c r="AB7">
        <f t="shared" si="0"/>
        <v>40</v>
      </c>
      <c r="AC7">
        <f>VLOOKUP(B7,'중1FO(문법주관식)'!$B$2:$H$43,7,)</f>
        <v>16</v>
      </c>
      <c r="AD7">
        <f t="shared" si="1"/>
        <v>56</v>
      </c>
      <c r="AI7" s="28">
        <f t="shared" si="2"/>
        <v>0.8</v>
      </c>
      <c r="AJ7" s="28">
        <f t="shared" si="3"/>
        <v>0.8</v>
      </c>
    </row>
    <row r="8" spans="1:36" x14ac:dyDescent="0.45">
      <c r="A8" t="s">
        <v>2</v>
      </c>
      <c r="B8" t="s">
        <v>6</v>
      </c>
      <c r="C8" t="s">
        <v>235</v>
      </c>
      <c r="D8" t="s">
        <v>235</v>
      </c>
      <c r="E8" t="s">
        <v>235</v>
      </c>
      <c r="F8" t="s">
        <v>235</v>
      </c>
      <c r="G8" t="s">
        <v>235</v>
      </c>
      <c r="H8" t="s">
        <v>235</v>
      </c>
      <c r="I8" t="s">
        <v>235</v>
      </c>
      <c r="J8" t="s">
        <v>235</v>
      </c>
      <c r="K8" t="s">
        <v>235</v>
      </c>
      <c r="L8" t="s">
        <v>235</v>
      </c>
      <c r="M8" t="s">
        <v>235</v>
      </c>
      <c r="N8" t="s">
        <v>235</v>
      </c>
      <c r="O8" t="s">
        <v>235</v>
      </c>
      <c r="P8" t="s">
        <v>235</v>
      </c>
      <c r="Q8" t="s">
        <v>235</v>
      </c>
      <c r="R8" t="s">
        <v>235</v>
      </c>
      <c r="S8" t="s">
        <v>235</v>
      </c>
      <c r="T8" t="s">
        <v>235</v>
      </c>
      <c r="U8" t="s">
        <v>235</v>
      </c>
      <c r="V8" t="s">
        <v>235</v>
      </c>
      <c r="W8" t="s">
        <v>235</v>
      </c>
      <c r="X8" t="s">
        <v>235</v>
      </c>
      <c r="Y8" t="s">
        <v>234</v>
      </c>
      <c r="Z8" t="s">
        <v>235</v>
      </c>
      <c r="AA8" t="s">
        <v>234</v>
      </c>
      <c r="AB8">
        <f t="shared" si="0"/>
        <v>46</v>
      </c>
      <c r="AC8">
        <f>VLOOKUP(B8,'중1FO(문법주관식)'!$B$2:$H$43,7,)</f>
        <v>14</v>
      </c>
      <c r="AD8">
        <f t="shared" si="1"/>
        <v>60</v>
      </c>
      <c r="AI8" s="28">
        <f t="shared" si="2"/>
        <v>0.92</v>
      </c>
      <c r="AJ8" s="28">
        <f t="shared" si="3"/>
        <v>0.7</v>
      </c>
    </row>
    <row r="9" spans="1:36" x14ac:dyDescent="0.45">
      <c r="A9" t="s">
        <v>2</v>
      </c>
      <c r="B9" t="s">
        <v>7</v>
      </c>
      <c r="C9" t="s">
        <v>235</v>
      </c>
      <c r="D9" t="s">
        <v>235</v>
      </c>
      <c r="E9" t="s">
        <v>235</v>
      </c>
      <c r="F9" t="s">
        <v>235</v>
      </c>
      <c r="G9" t="s">
        <v>235</v>
      </c>
      <c r="H9" t="s">
        <v>235</v>
      </c>
      <c r="I9" t="s">
        <v>235</v>
      </c>
      <c r="J9" t="s">
        <v>235</v>
      </c>
      <c r="K9" t="s">
        <v>235</v>
      </c>
      <c r="L9" t="s">
        <v>235</v>
      </c>
      <c r="M9" t="s">
        <v>235</v>
      </c>
      <c r="N9" t="s">
        <v>235</v>
      </c>
      <c r="O9" t="s">
        <v>234</v>
      </c>
      <c r="P9" t="s">
        <v>235</v>
      </c>
      <c r="Q9" t="s">
        <v>235</v>
      </c>
      <c r="R9" t="s">
        <v>235</v>
      </c>
      <c r="S9" t="s">
        <v>235</v>
      </c>
      <c r="T9" t="s">
        <v>234</v>
      </c>
      <c r="U9" t="s">
        <v>235</v>
      </c>
      <c r="V9" t="s">
        <v>235</v>
      </c>
      <c r="W9" t="s">
        <v>235</v>
      </c>
      <c r="X9" t="s">
        <v>234</v>
      </c>
      <c r="Y9" t="s">
        <v>235</v>
      </c>
      <c r="Z9" t="s">
        <v>234</v>
      </c>
      <c r="AA9" t="s">
        <v>235</v>
      </c>
      <c r="AB9">
        <f t="shared" si="0"/>
        <v>42</v>
      </c>
      <c r="AC9">
        <f>VLOOKUP(B9,'중1FO(문법주관식)'!$B$2:$H$43,7,)</f>
        <v>16</v>
      </c>
      <c r="AD9">
        <f t="shared" si="1"/>
        <v>58</v>
      </c>
      <c r="AI9" s="28">
        <f t="shared" si="2"/>
        <v>0.84</v>
      </c>
      <c r="AJ9" s="28">
        <f t="shared" si="3"/>
        <v>0.8</v>
      </c>
    </row>
    <row r="10" spans="1:36" x14ac:dyDescent="0.45">
      <c r="A10" t="s">
        <v>2</v>
      </c>
      <c r="B10" t="s">
        <v>8</v>
      </c>
      <c r="C10" t="s">
        <v>234</v>
      </c>
      <c r="D10" t="s">
        <v>235</v>
      </c>
      <c r="E10" t="s">
        <v>235</v>
      </c>
      <c r="F10" t="s">
        <v>235</v>
      </c>
      <c r="G10" t="s">
        <v>235</v>
      </c>
      <c r="H10" t="s">
        <v>234</v>
      </c>
      <c r="I10" t="s">
        <v>235</v>
      </c>
      <c r="J10" t="s">
        <v>234</v>
      </c>
      <c r="K10" t="s">
        <v>235</v>
      </c>
      <c r="L10" t="s">
        <v>234</v>
      </c>
      <c r="M10" t="s">
        <v>235</v>
      </c>
      <c r="N10" t="s">
        <v>235</v>
      </c>
      <c r="O10" t="s">
        <v>235</v>
      </c>
      <c r="P10" t="s">
        <v>235</v>
      </c>
      <c r="Q10" t="s">
        <v>234</v>
      </c>
      <c r="R10" t="s">
        <v>234</v>
      </c>
      <c r="S10" t="s">
        <v>234</v>
      </c>
      <c r="T10" t="s">
        <v>234</v>
      </c>
      <c r="U10" t="s">
        <v>234</v>
      </c>
      <c r="V10" t="s">
        <v>235</v>
      </c>
      <c r="W10" t="s">
        <v>235</v>
      </c>
      <c r="X10" t="s">
        <v>235</v>
      </c>
      <c r="Y10" t="s">
        <v>234</v>
      </c>
      <c r="Z10" t="s">
        <v>234</v>
      </c>
      <c r="AA10" t="s">
        <v>235</v>
      </c>
      <c r="AB10">
        <f t="shared" si="0"/>
        <v>28</v>
      </c>
      <c r="AC10">
        <f>VLOOKUP(B10,'중1FO(문법주관식)'!$B$2:$H$43,7,)</f>
        <v>14</v>
      </c>
      <c r="AD10">
        <f t="shared" si="1"/>
        <v>42</v>
      </c>
      <c r="AI10" s="28">
        <f t="shared" si="2"/>
        <v>0.56000000000000005</v>
      </c>
      <c r="AJ10" s="28">
        <f t="shared" si="3"/>
        <v>0.7</v>
      </c>
    </row>
    <row r="11" spans="1:36" x14ac:dyDescent="0.45">
      <c r="A11" t="s">
        <v>2</v>
      </c>
      <c r="B11" t="s">
        <v>9</v>
      </c>
      <c r="C11" t="s">
        <v>234</v>
      </c>
      <c r="D11" t="s">
        <v>234</v>
      </c>
      <c r="E11" t="s">
        <v>234</v>
      </c>
      <c r="F11" t="s">
        <v>234</v>
      </c>
      <c r="G11" t="s">
        <v>234</v>
      </c>
      <c r="H11" t="s">
        <v>235</v>
      </c>
      <c r="I11" t="s">
        <v>235</v>
      </c>
      <c r="J11" t="s">
        <v>234</v>
      </c>
      <c r="K11" t="s">
        <v>234</v>
      </c>
      <c r="L11" t="s">
        <v>235</v>
      </c>
      <c r="M11" t="s">
        <v>235</v>
      </c>
      <c r="N11" t="s">
        <v>235</v>
      </c>
      <c r="O11" t="s">
        <v>234</v>
      </c>
      <c r="P11" t="s">
        <v>234</v>
      </c>
      <c r="Q11" t="s">
        <v>234</v>
      </c>
      <c r="R11" t="s">
        <v>235</v>
      </c>
      <c r="S11" t="s">
        <v>234</v>
      </c>
      <c r="T11" t="s">
        <v>234</v>
      </c>
      <c r="U11" t="s">
        <v>234</v>
      </c>
      <c r="V11" t="s">
        <v>234</v>
      </c>
      <c r="W11" t="s">
        <v>234</v>
      </c>
      <c r="X11" t="s">
        <v>234</v>
      </c>
      <c r="Y11" t="s">
        <v>235</v>
      </c>
      <c r="Z11" t="s">
        <v>234</v>
      </c>
      <c r="AA11" t="s">
        <v>234</v>
      </c>
      <c r="AB11">
        <f t="shared" si="0"/>
        <v>14</v>
      </c>
      <c r="AC11">
        <f>VLOOKUP(B11,'중1FO(문법주관식)'!$B$2:$H$43,7,)</f>
        <v>11</v>
      </c>
      <c r="AD11">
        <f t="shared" si="1"/>
        <v>25</v>
      </c>
      <c r="AI11" s="28">
        <f t="shared" si="2"/>
        <v>0.28000000000000003</v>
      </c>
      <c r="AJ11" s="28">
        <f t="shared" si="3"/>
        <v>0.55000000000000004</v>
      </c>
    </row>
    <row r="12" spans="1:36" x14ac:dyDescent="0.45">
      <c r="A12" t="s">
        <v>2</v>
      </c>
      <c r="B12" t="s">
        <v>10</v>
      </c>
      <c r="C12" t="s">
        <v>235</v>
      </c>
      <c r="D12" t="s">
        <v>235</v>
      </c>
      <c r="E12" t="s">
        <v>235</v>
      </c>
      <c r="F12" t="s">
        <v>235</v>
      </c>
      <c r="G12" t="s">
        <v>235</v>
      </c>
      <c r="H12" t="s">
        <v>235</v>
      </c>
      <c r="I12" t="s">
        <v>235</v>
      </c>
      <c r="J12" t="s">
        <v>235</v>
      </c>
      <c r="K12" t="s">
        <v>234</v>
      </c>
      <c r="L12" t="s">
        <v>235</v>
      </c>
      <c r="M12" t="s">
        <v>235</v>
      </c>
      <c r="N12" t="s">
        <v>235</v>
      </c>
      <c r="O12" t="s">
        <v>235</v>
      </c>
      <c r="P12" t="s">
        <v>235</v>
      </c>
      <c r="Q12" t="s">
        <v>235</v>
      </c>
      <c r="R12" t="s">
        <v>235</v>
      </c>
      <c r="S12" t="s">
        <v>234</v>
      </c>
      <c r="T12" t="s">
        <v>234</v>
      </c>
      <c r="U12" t="s">
        <v>235</v>
      </c>
      <c r="V12" t="s">
        <v>234</v>
      </c>
      <c r="W12" t="s">
        <v>235</v>
      </c>
      <c r="X12" t="s">
        <v>234</v>
      </c>
      <c r="Y12" t="s">
        <v>235</v>
      </c>
      <c r="Z12" t="s">
        <v>234</v>
      </c>
      <c r="AA12" t="s">
        <v>235</v>
      </c>
      <c r="AB12">
        <f t="shared" si="0"/>
        <v>38</v>
      </c>
      <c r="AC12">
        <f>VLOOKUP(B12,'중1FO(문법주관식)'!$B$2:$H$43,7,)</f>
        <v>17</v>
      </c>
      <c r="AD12">
        <f t="shared" si="1"/>
        <v>55</v>
      </c>
      <c r="AI12" s="28">
        <f t="shared" si="2"/>
        <v>0.76</v>
      </c>
      <c r="AJ12" s="28">
        <f t="shared" si="3"/>
        <v>0.85</v>
      </c>
    </row>
    <row r="13" spans="1:36" x14ac:dyDescent="0.45">
      <c r="A13" t="s">
        <v>2</v>
      </c>
      <c r="B13" t="s">
        <v>11</v>
      </c>
      <c r="C13" t="s">
        <v>234</v>
      </c>
      <c r="D13" t="s">
        <v>235</v>
      </c>
      <c r="E13" t="s">
        <v>235</v>
      </c>
      <c r="F13" t="s">
        <v>235</v>
      </c>
      <c r="G13" t="s">
        <v>235</v>
      </c>
      <c r="H13" t="s">
        <v>235</v>
      </c>
      <c r="I13" t="s">
        <v>235</v>
      </c>
      <c r="J13" t="s">
        <v>235</v>
      </c>
      <c r="K13" t="s">
        <v>234</v>
      </c>
      <c r="L13" t="s">
        <v>235</v>
      </c>
      <c r="M13" t="s">
        <v>235</v>
      </c>
      <c r="N13" t="s">
        <v>235</v>
      </c>
      <c r="O13" t="s">
        <v>235</v>
      </c>
      <c r="P13" t="s">
        <v>235</v>
      </c>
      <c r="Q13" t="s">
        <v>234</v>
      </c>
      <c r="R13" t="s">
        <v>234</v>
      </c>
      <c r="S13" t="s">
        <v>235</v>
      </c>
      <c r="T13" t="s">
        <v>234</v>
      </c>
      <c r="U13" t="s">
        <v>235</v>
      </c>
      <c r="V13" t="s">
        <v>235</v>
      </c>
      <c r="W13" t="s">
        <v>235</v>
      </c>
      <c r="X13" t="s">
        <v>234</v>
      </c>
      <c r="Y13" t="s">
        <v>234</v>
      </c>
      <c r="Z13" t="s">
        <v>234</v>
      </c>
      <c r="AA13" t="s">
        <v>235</v>
      </c>
      <c r="AB13">
        <f t="shared" si="0"/>
        <v>34</v>
      </c>
      <c r="AC13">
        <f>VLOOKUP(B13,'중1FO(문법주관식)'!$B$2:$H$43,7,)</f>
        <v>17</v>
      </c>
      <c r="AD13">
        <f t="shared" si="1"/>
        <v>51</v>
      </c>
      <c r="AI13" s="28">
        <f t="shared" si="2"/>
        <v>0.68</v>
      </c>
      <c r="AJ13" s="28">
        <f t="shared" si="3"/>
        <v>0.85</v>
      </c>
    </row>
    <row r="14" spans="1:36" x14ac:dyDescent="0.45">
      <c r="A14" t="s">
        <v>2</v>
      </c>
      <c r="B14" t="s">
        <v>12</v>
      </c>
      <c r="C14" t="s">
        <v>235</v>
      </c>
      <c r="D14" t="s">
        <v>235</v>
      </c>
      <c r="E14" t="s">
        <v>235</v>
      </c>
      <c r="F14" t="s">
        <v>235</v>
      </c>
      <c r="G14" t="s">
        <v>235</v>
      </c>
      <c r="H14" t="s">
        <v>235</v>
      </c>
      <c r="I14" t="s">
        <v>235</v>
      </c>
      <c r="J14" t="s">
        <v>235</v>
      </c>
      <c r="K14" t="s">
        <v>234</v>
      </c>
      <c r="L14" t="s">
        <v>235</v>
      </c>
      <c r="M14" t="s">
        <v>235</v>
      </c>
      <c r="N14" t="s">
        <v>235</v>
      </c>
      <c r="O14" t="s">
        <v>235</v>
      </c>
      <c r="P14" t="s">
        <v>234</v>
      </c>
      <c r="Q14" t="s">
        <v>234</v>
      </c>
      <c r="R14" t="s">
        <v>235</v>
      </c>
      <c r="S14" t="s">
        <v>235</v>
      </c>
      <c r="T14" t="s">
        <v>234</v>
      </c>
      <c r="U14" t="s">
        <v>235</v>
      </c>
      <c r="V14" t="s">
        <v>235</v>
      </c>
      <c r="W14" t="s">
        <v>235</v>
      </c>
      <c r="X14" t="s">
        <v>235</v>
      </c>
      <c r="Y14" t="s">
        <v>234</v>
      </c>
      <c r="Z14" t="s">
        <v>235</v>
      </c>
      <c r="AA14" t="s">
        <v>234</v>
      </c>
      <c r="AB14">
        <f t="shared" si="0"/>
        <v>38</v>
      </c>
      <c r="AC14">
        <f>VLOOKUP(B14,'중1FO(문법주관식)'!$B$2:$H$43,7,)</f>
        <v>18</v>
      </c>
      <c r="AD14">
        <f t="shared" si="1"/>
        <v>56</v>
      </c>
      <c r="AI14" s="28">
        <f t="shared" si="2"/>
        <v>0.76</v>
      </c>
      <c r="AJ14" s="28">
        <f t="shared" si="3"/>
        <v>0.9</v>
      </c>
    </row>
    <row r="15" spans="1:36" x14ac:dyDescent="0.45">
      <c r="A15" t="s">
        <v>2</v>
      </c>
      <c r="B15" t="s">
        <v>13</v>
      </c>
      <c r="C15" t="s">
        <v>235</v>
      </c>
      <c r="D15" t="s">
        <v>235</v>
      </c>
      <c r="E15" t="s">
        <v>235</v>
      </c>
      <c r="F15" t="s">
        <v>235</v>
      </c>
      <c r="G15" t="s">
        <v>235</v>
      </c>
      <c r="H15" t="s">
        <v>235</v>
      </c>
      <c r="I15" t="s">
        <v>235</v>
      </c>
      <c r="J15" t="s">
        <v>235</v>
      </c>
      <c r="K15" t="s">
        <v>235</v>
      </c>
      <c r="L15" t="s">
        <v>235</v>
      </c>
      <c r="M15" t="s">
        <v>235</v>
      </c>
      <c r="N15" t="s">
        <v>235</v>
      </c>
      <c r="O15" t="s">
        <v>235</v>
      </c>
      <c r="P15" t="s">
        <v>235</v>
      </c>
      <c r="Q15" t="s">
        <v>235</v>
      </c>
      <c r="R15" t="s">
        <v>235</v>
      </c>
      <c r="S15" t="s">
        <v>235</v>
      </c>
      <c r="T15" t="s">
        <v>235</v>
      </c>
      <c r="U15" t="s">
        <v>235</v>
      </c>
      <c r="V15" t="s">
        <v>235</v>
      </c>
      <c r="W15" t="s">
        <v>235</v>
      </c>
      <c r="X15" t="s">
        <v>234</v>
      </c>
      <c r="Y15" t="s">
        <v>235</v>
      </c>
      <c r="Z15" t="s">
        <v>235</v>
      </c>
      <c r="AA15" t="s">
        <v>235</v>
      </c>
      <c r="AB15">
        <f t="shared" si="0"/>
        <v>48</v>
      </c>
      <c r="AC15">
        <f>VLOOKUP(B15,'중1FO(문법주관식)'!$B$2:$H$43,7,)</f>
        <v>19</v>
      </c>
      <c r="AD15">
        <f t="shared" si="1"/>
        <v>67</v>
      </c>
      <c r="AI15" s="28">
        <f t="shared" si="2"/>
        <v>0.96</v>
      </c>
      <c r="AJ15" s="28">
        <f t="shared" si="3"/>
        <v>0.95</v>
      </c>
    </row>
    <row r="16" spans="1:36" x14ac:dyDescent="0.45">
      <c r="A16" t="s">
        <v>2</v>
      </c>
      <c r="B16" t="s">
        <v>14</v>
      </c>
      <c r="C16" t="s">
        <v>235</v>
      </c>
      <c r="D16" t="s">
        <v>234</v>
      </c>
      <c r="E16" t="s">
        <v>235</v>
      </c>
      <c r="F16" t="s">
        <v>235</v>
      </c>
      <c r="G16" t="s">
        <v>235</v>
      </c>
      <c r="H16" t="s">
        <v>234</v>
      </c>
      <c r="I16" t="s">
        <v>234</v>
      </c>
      <c r="J16" t="s">
        <v>235</v>
      </c>
      <c r="K16" t="s">
        <v>234</v>
      </c>
      <c r="L16" t="s">
        <v>234</v>
      </c>
      <c r="M16" t="s">
        <v>235</v>
      </c>
      <c r="N16" t="s">
        <v>235</v>
      </c>
      <c r="O16" t="s">
        <v>234</v>
      </c>
      <c r="P16" t="s">
        <v>235</v>
      </c>
      <c r="Q16" t="s">
        <v>234</v>
      </c>
      <c r="R16" t="s">
        <v>235</v>
      </c>
      <c r="S16" t="s">
        <v>234</v>
      </c>
      <c r="T16" t="s">
        <v>234</v>
      </c>
      <c r="U16" t="s">
        <v>234</v>
      </c>
      <c r="V16" t="s">
        <v>235</v>
      </c>
      <c r="W16" t="s">
        <v>234</v>
      </c>
      <c r="X16" t="s">
        <v>234</v>
      </c>
      <c r="Y16" t="s">
        <v>235</v>
      </c>
      <c r="Z16" t="s">
        <v>235</v>
      </c>
      <c r="AA16" t="s">
        <v>235</v>
      </c>
      <c r="AB16">
        <f t="shared" si="0"/>
        <v>26</v>
      </c>
      <c r="AC16">
        <f>VLOOKUP(B16,'중1FO(문법주관식)'!$B$2:$H$43,7,)</f>
        <v>13</v>
      </c>
      <c r="AD16">
        <f t="shared" si="1"/>
        <v>39</v>
      </c>
      <c r="AI16" s="28">
        <f t="shared" si="2"/>
        <v>0.52</v>
      </c>
      <c r="AJ16" s="28">
        <f t="shared" si="3"/>
        <v>0.65</v>
      </c>
    </row>
    <row r="17" spans="1:36" x14ac:dyDescent="0.45">
      <c r="A17" t="s">
        <v>2</v>
      </c>
      <c r="B17" t="s">
        <v>15</v>
      </c>
      <c r="C17" t="s">
        <v>235</v>
      </c>
      <c r="D17" t="s">
        <v>235</v>
      </c>
      <c r="E17" t="s">
        <v>235</v>
      </c>
      <c r="F17" t="s">
        <v>235</v>
      </c>
      <c r="G17" t="s">
        <v>235</v>
      </c>
      <c r="H17" t="s">
        <v>235</v>
      </c>
      <c r="I17" t="s">
        <v>235</v>
      </c>
      <c r="J17" t="s">
        <v>235</v>
      </c>
      <c r="K17" t="s">
        <v>234</v>
      </c>
      <c r="L17" t="s">
        <v>235</v>
      </c>
      <c r="M17" t="s">
        <v>235</v>
      </c>
      <c r="N17" t="s">
        <v>235</v>
      </c>
      <c r="O17" t="s">
        <v>235</v>
      </c>
      <c r="P17" t="s">
        <v>235</v>
      </c>
      <c r="Q17" t="s">
        <v>234</v>
      </c>
      <c r="R17" t="s">
        <v>235</v>
      </c>
      <c r="S17" t="s">
        <v>235</v>
      </c>
      <c r="T17" t="s">
        <v>235</v>
      </c>
      <c r="U17" t="s">
        <v>235</v>
      </c>
      <c r="V17" t="s">
        <v>235</v>
      </c>
      <c r="W17" t="s">
        <v>235</v>
      </c>
      <c r="X17" t="s">
        <v>235</v>
      </c>
      <c r="Y17" t="s">
        <v>234</v>
      </c>
      <c r="Z17" t="s">
        <v>235</v>
      </c>
      <c r="AA17" t="s">
        <v>235</v>
      </c>
      <c r="AB17">
        <f t="shared" si="0"/>
        <v>44</v>
      </c>
      <c r="AC17">
        <f>VLOOKUP(B17,'중1FO(문법주관식)'!$B$2:$H$43,7,)</f>
        <v>16</v>
      </c>
      <c r="AD17">
        <f t="shared" si="1"/>
        <v>60</v>
      </c>
      <c r="AI17" s="28">
        <f t="shared" si="2"/>
        <v>0.88</v>
      </c>
      <c r="AJ17" s="28">
        <f t="shared" si="3"/>
        <v>0.8</v>
      </c>
    </row>
    <row r="18" spans="1:36" x14ac:dyDescent="0.45">
      <c r="A18" t="s">
        <v>2</v>
      </c>
      <c r="B18" t="s">
        <v>16</v>
      </c>
      <c r="C18" t="s">
        <v>235</v>
      </c>
      <c r="D18" t="s">
        <v>235</v>
      </c>
      <c r="E18" t="s">
        <v>235</v>
      </c>
      <c r="F18" t="s">
        <v>234</v>
      </c>
      <c r="G18" t="s">
        <v>235</v>
      </c>
      <c r="H18" t="s">
        <v>234</v>
      </c>
      <c r="I18" t="s">
        <v>235</v>
      </c>
      <c r="J18" t="s">
        <v>235</v>
      </c>
      <c r="K18" t="s">
        <v>234</v>
      </c>
      <c r="L18" t="s">
        <v>235</v>
      </c>
      <c r="M18" t="s">
        <v>235</v>
      </c>
      <c r="N18" t="s">
        <v>235</v>
      </c>
      <c r="O18" t="s">
        <v>234</v>
      </c>
      <c r="P18" t="s">
        <v>234</v>
      </c>
      <c r="Q18" t="s">
        <v>234</v>
      </c>
      <c r="R18" t="s">
        <v>234</v>
      </c>
      <c r="S18" t="s">
        <v>234</v>
      </c>
      <c r="T18" t="s">
        <v>234</v>
      </c>
      <c r="U18" t="s">
        <v>235</v>
      </c>
      <c r="V18" t="s">
        <v>235</v>
      </c>
      <c r="W18" t="s">
        <v>234</v>
      </c>
      <c r="X18" t="s">
        <v>235</v>
      </c>
      <c r="Y18" t="s">
        <v>234</v>
      </c>
      <c r="Z18" t="s">
        <v>234</v>
      </c>
      <c r="AA18" t="s">
        <v>234</v>
      </c>
      <c r="AB18">
        <f t="shared" si="0"/>
        <v>24</v>
      </c>
      <c r="AC18">
        <f>VLOOKUP(B18,'중1FO(문법주관식)'!$B$2:$H$43,7,)</f>
        <v>14</v>
      </c>
      <c r="AD18">
        <f t="shared" si="1"/>
        <v>38</v>
      </c>
      <c r="AI18" s="28">
        <f t="shared" si="2"/>
        <v>0.48</v>
      </c>
      <c r="AJ18" s="28">
        <f t="shared" si="3"/>
        <v>0.7</v>
      </c>
    </row>
    <row r="19" spans="1:36" x14ac:dyDescent="0.45">
      <c r="A19" t="s">
        <v>2</v>
      </c>
      <c r="B19" t="s">
        <v>17</v>
      </c>
      <c r="C19" t="s">
        <v>235</v>
      </c>
      <c r="D19" t="s">
        <v>235</v>
      </c>
      <c r="E19" t="s">
        <v>235</v>
      </c>
      <c r="F19" t="s">
        <v>235</v>
      </c>
      <c r="G19" t="s">
        <v>235</v>
      </c>
      <c r="H19" t="s">
        <v>234</v>
      </c>
      <c r="I19" t="s">
        <v>235</v>
      </c>
      <c r="J19" t="s">
        <v>235</v>
      </c>
      <c r="K19" t="s">
        <v>234</v>
      </c>
      <c r="L19" t="s">
        <v>235</v>
      </c>
      <c r="M19" t="s">
        <v>235</v>
      </c>
      <c r="N19" t="s">
        <v>235</v>
      </c>
      <c r="O19" t="s">
        <v>235</v>
      </c>
      <c r="P19" t="s">
        <v>235</v>
      </c>
      <c r="Q19" t="s">
        <v>234</v>
      </c>
      <c r="R19" t="s">
        <v>234</v>
      </c>
      <c r="S19" t="s">
        <v>235</v>
      </c>
      <c r="T19" t="s">
        <v>235</v>
      </c>
      <c r="U19" t="s">
        <v>235</v>
      </c>
      <c r="V19" t="s">
        <v>235</v>
      </c>
      <c r="W19" t="s">
        <v>234</v>
      </c>
      <c r="X19" t="s">
        <v>234</v>
      </c>
      <c r="Y19" t="s">
        <v>234</v>
      </c>
      <c r="Z19" t="s">
        <v>235</v>
      </c>
      <c r="AA19" t="s">
        <v>234</v>
      </c>
      <c r="AB19">
        <f t="shared" si="0"/>
        <v>34</v>
      </c>
      <c r="AC19">
        <f>VLOOKUP(B19,'중1FO(문법주관식)'!$B$2:$H$43,7,)</f>
        <v>13</v>
      </c>
      <c r="AD19">
        <f t="shared" si="1"/>
        <v>47</v>
      </c>
      <c r="AI19" s="28">
        <f t="shared" si="2"/>
        <v>0.68</v>
      </c>
      <c r="AJ19" s="28">
        <f t="shared" si="3"/>
        <v>0.65</v>
      </c>
    </row>
    <row r="20" spans="1:36" x14ac:dyDescent="0.45">
      <c r="A20" t="s">
        <v>2</v>
      </c>
      <c r="B20" t="s">
        <v>18</v>
      </c>
      <c r="C20" t="s">
        <v>235</v>
      </c>
      <c r="D20" t="s">
        <v>235</v>
      </c>
      <c r="E20" t="s">
        <v>235</v>
      </c>
      <c r="F20" t="s">
        <v>235</v>
      </c>
      <c r="G20" t="s">
        <v>235</v>
      </c>
      <c r="H20" t="s">
        <v>235</v>
      </c>
      <c r="I20" t="s">
        <v>235</v>
      </c>
      <c r="J20" t="s">
        <v>235</v>
      </c>
      <c r="K20" t="s">
        <v>235</v>
      </c>
      <c r="L20" t="s">
        <v>235</v>
      </c>
      <c r="M20" t="s">
        <v>235</v>
      </c>
      <c r="N20" t="s">
        <v>235</v>
      </c>
      <c r="O20" t="s">
        <v>234</v>
      </c>
      <c r="P20" t="s">
        <v>235</v>
      </c>
      <c r="Q20" t="s">
        <v>235</v>
      </c>
      <c r="R20" t="s">
        <v>235</v>
      </c>
      <c r="S20" t="s">
        <v>234</v>
      </c>
      <c r="T20" t="s">
        <v>234</v>
      </c>
      <c r="U20" t="s">
        <v>235</v>
      </c>
      <c r="V20" t="s">
        <v>235</v>
      </c>
      <c r="W20" t="s">
        <v>235</v>
      </c>
      <c r="X20" t="s">
        <v>234</v>
      </c>
      <c r="Y20" t="s">
        <v>234</v>
      </c>
      <c r="Z20" t="s">
        <v>235</v>
      </c>
      <c r="AA20" t="s">
        <v>234</v>
      </c>
      <c r="AB20">
        <f t="shared" si="0"/>
        <v>38</v>
      </c>
      <c r="AC20">
        <f>VLOOKUP(B20,'중1FO(문법주관식)'!$B$2:$H$43,7,)</f>
        <v>17</v>
      </c>
      <c r="AD20">
        <f t="shared" si="1"/>
        <v>55</v>
      </c>
      <c r="AI20" s="28">
        <f t="shared" si="2"/>
        <v>0.76</v>
      </c>
      <c r="AJ20" s="28">
        <f t="shared" si="3"/>
        <v>0.85</v>
      </c>
    </row>
    <row r="21" spans="1:36" x14ac:dyDescent="0.45">
      <c r="A21" t="s">
        <v>2</v>
      </c>
      <c r="B21" t="s">
        <v>19</v>
      </c>
      <c r="C21" t="s">
        <v>235</v>
      </c>
      <c r="D21" t="s">
        <v>235</v>
      </c>
      <c r="E21" t="s">
        <v>235</v>
      </c>
      <c r="F21" t="s">
        <v>235</v>
      </c>
      <c r="G21" t="s">
        <v>235</v>
      </c>
      <c r="H21" t="s">
        <v>235</v>
      </c>
      <c r="I21" t="s">
        <v>235</v>
      </c>
      <c r="J21" t="s">
        <v>235</v>
      </c>
      <c r="K21" t="s">
        <v>235</v>
      </c>
      <c r="L21" t="s">
        <v>235</v>
      </c>
      <c r="M21" t="s">
        <v>235</v>
      </c>
      <c r="N21" t="s">
        <v>235</v>
      </c>
      <c r="O21" t="s">
        <v>235</v>
      </c>
      <c r="P21" t="s">
        <v>235</v>
      </c>
      <c r="Q21" t="s">
        <v>235</v>
      </c>
      <c r="R21" t="s">
        <v>235</v>
      </c>
      <c r="S21" t="s">
        <v>235</v>
      </c>
      <c r="T21" t="s">
        <v>235</v>
      </c>
      <c r="U21" t="s">
        <v>235</v>
      </c>
      <c r="V21" t="s">
        <v>235</v>
      </c>
      <c r="W21" t="s">
        <v>235</v>
      </c>
      <c r="X21" t="s">
        <v>235</v>
      </c>
      <c r="Y21" t="s">
        <v>235</v>
      </c>
      <c r="Z21" t="s">
        <v>234</v>
      </c>
      <c r="AA21" t="s">
        <v>235</v>
      </c>
      <c r="AB21">
        <f t="shared" si="0"/>
        <v>48</v>
      </c>
      <c r="AC21">
        <f>VLOOKUP(B21,'중1FO(문법주관식)'!$B$2:$H$43,7,)</f>
        <v>18</v>
      </c>
      <c r="AD21">
        <f t="shared" si="1"/>
        <v>66</v>
      </c>
      <c r="AI21" s="28">
        <f t="shared" si="2"/>
        <v>0.96</v>
      </c>
      <c r="AJ21" s="28">
        <f t="shared" si="3"/>
        <v>0.9</v>
      </c>
    </row>
    <row r="22" spans="1:36" x14ac:dyDescent="0.45">
      <c r="A22" t="s">
        <v>2</v>
      </c>
      <c r="B22" t="s">
        <v>20</v>
      </c>
      <c r="C22" t="s">
        <v>234</v>
      </c>
      <c r="D22" t="s">
        <v>235</v>
      </c>
      <c r="E22" t="s">
        <v>235</v>
      </c>
      <c r="F22" t="s">
        <v>234</v>
      </c>
      <c r="G22" t="s">
        <v>235</v>
      </c>
      <c r="H22" t="s">
        <v>235</v>
      </c>
      <c r="I22" t="s">
        <v>235</v>
      </c>
      <c r="J22" t="s">
        <v>235</v>
      </c>
      <c r="K22" t="s">
        <v>234</v>
      </c>
      <c r="L22" t="s">
        <v>235</v>
      </c>
      <c r="M22" t="s">
        <v>234</v>
      </c>
      <c r="N22" t="s">
        <v>234</v>
      </c>
      <c r="O22" t="s">
        <v>234</v>
      </c>
      <c r="P22" t="s">
        <v>234</v>
      </c>
      <c r="Q22" t="s">
        <v>235</v>
      </c>
      <c r="R22" t="s">
        <v>234</v>
      </c>
      <c r="S22" t="s">
        <v>234</v>
      </c>
      <c r="T22" t="s">
        <v>235</v>
      </c>
      <c r="U22" t="s">
        <v>234</v>
      </c>
      <c r="V22" t="s">
        <v>235</v>
      </c>
      <c r="W22" t="s">
        <v>235</v>
      </c>
      <c r="X22" t="s">
        <v>234</v>
      </c>
      <c r="Y22" t="s">
        <v>234</v>
      </c>
      <c r="Z22" t="s">
        <v>234</v>
      </c>
      <c r="AA22" t="s">
        <v>234</v>
      </c>
      <c r="AB22">
        <f t="shared" si="0"/>
        <v>22</v>
      </c>
      <c r="AC22">
        <f>VLOOKUP(B22,'중1FO(문법주관식)'!$B$2:$H$43,7,)</f>
        <v>14</v>
      </c>
      <c r="AD22">
        <f t="shared" si="1"/>
        <v>36</v>
      </c>
      <c r="AI22" s="28">
        <f t="shared" si="2"/>
        <v>0.44</v>
      </c>
      <c r="AJ22" s="28">
        <f t="shared" si="3"/>
        <v>0.7</v>
      </c>
    </row>
    <row r="23" spans="1:36" x14ac:dyDescent="0.45">
      <c r="A23" t="s">
        <v>2</v>
      </c>
      <c r="B23" t="s">
        <v>21</v>
      </c>
      <c r="C23" t="s">
        <v>234</v>
      </c>
      <c r="D23" t="s">
        <v>235</v>
      </c>
      <c r="E23" t="s">
        <v>235</v>
      </c>
      <c r="F23" t="s">
        <v>235</v>
      </c>
      <c r="G23" t="s">
        <v>235</v>
      </c>
      <c r="H23" t="s">
        <v>235</v>
      </c>
      <c r="I23" t="s">
        <v>235</v>
      </c>
      <c r="J23" t="s">
        <v>234</v>
      </c>
      <c r="K23" t="s">
        <v>234</v>
      </c>
      <c r="L23" t="s">
        <v>234</v>
      </c>
      <c r="M23" t="s">
        <v>235</v>
      </c>
      <c r="N23" t="s">
        <v>235</v>
      </c>
      <c r="O23" t="s">
        <v>235</v>
      </c>
      <c r="P23" t="s">
        <v>235</v>
      </c>
      <c r="Q23" t="s">
        <v>235</v>
      </c>
      <c r="R23" t="s">
        <v>235</v>
      </c>
      <c r="S23" t="s">
        <v>234</v>
      </c>
      <c r="T23" t="s">
        <v>234</v>
      </c>
      <c r="U23" t="s">
        <v>235</v>
      </c>
      <c r="V23" t="s">
        <v>235</v>
      </c>
      <c r="W23" t="s">
        <v>234</v>
      </c>
      <c r="X23" t="s">
        <v>235</v>
      </c>
      <c r="Y23" t="s">
        <v>235</v>
      </c>
      <c r="Z23" t="s">
        <v>235</v>
      </c>
      <c r="AA23" t="s">
        <v>235</v>
      </c>
      <c r="AB23">
        <f t="shared" si="0"/>
        <v>36</v>
      </c>
      <c r="AC23">
        <f>VLOOKUP(B23,'중1FO(문법주관식)'!$B$2:$H$43,7,)</f>
        <v>12</v>
      </c>
      <c r="AD23">
        <f t="shared" si="1"/>
        <v>48</v>
      </c>
      <c r="AI23" s="28">
        <f t="shared" si="2"/>
        <v>0.72</v>
      </c>
      <c r="AJ23" s="28">
        <f t="shared" si="3"/>
        <v>0.6</v>
      </c>
    </row>
    <row r="24" spans="1:36" x14ac:dyDescent="0.45">
      <c r="A24" t="s">
        <v>2</v>
      </c>
      <c r="B24" t="s">
        <v>22</v>
      </c>
      <c r="C24" t="s">
        <v>234</v>
      </c>
      <c r="D24" t="s">
        <v>235</v>
      </c>
      <c r="E24" t="s">
        <v>235</v>
      </c>
      <c r="F24" t="s">
        <v>235</v>
      </c>
      <c r="G24" t="s">
        <v>235</v>
      </c>
      <c r="H24" t="s">
        <v>235</v>
      </c>
      <c r="I24" t="s">
        <v>235</v>
      </c>
      <c r="J24" t="s">
        <v>235</v>
      </c>
      <c r="K24" t="s">
        <v>235</v>
      </c>
      <c r="L24" t="s">
        <v>235</v>
      </c>
      <c r="M24" t="s">
        <v>235</v>
      </c>
      <c r="N24" t="s">
        <v>235</v>
      </c>
      <c r="O24" t="s">
        <v>235</v>
      </c>
      <c r="P24" t="s">
        <v>235</v>
      </c>
      <c r="Q24" t="s">
        <v>235</v>
      </c>
      <c r="R24" t="s">
        <v>235</v>
      </c>
      <c r="S24" t="s">
        <v>234</v>
      </c>
      <c r="T24" t="s">
        <v>235</v>
      </c>
      <c r="U24" t="s">
        <v>234</v>
      </c>
      <c r="V24" t="s">
        <v>235</v>
      </c>
      <c r="W24" t="s">
        <v>235</v>
      </c>
      <c r="X24" t="s">
        <v>234</v>
      </c>
      <c r="Y24" t="s">
        <v>235</v>
      </c>
      <c r="Z24" t="s">
        <v>234</v>
      </c>
      <c r="AA24" t="s">
        <v>235</v>
      </c>
      <c r="AB24">
        <f t="shared" si="0"/>
        <v>40</v>
      </c>
      <c r="AC24">
        <f>VLOOKUP(B24,'중1FO(문법주관식)'!$B$2:$H$43,7,)</f>
        <v>14</v>
      </c>
      <c r="AD24">
        <f t="shared" si="1"/>
        <v>54</v>
      </c>
      <c r="AI24" s="28">
        <f t="shared" si="2"/>
        <v>0.8</v>
      </c>
      <c r="AJ24" s="28">
        <f t="shared" si="3"/>
        <v>0.7</v>
      </c>
    </row>
    <row r="25" spans="1:36" x14ac:dyDescent="0.45">
      <c r="A25" t="s">
        <v>2</v>
      </c>
      <c r="B25" t="s">
        <v>23</v>
      </c>
      <c r="C25" t="s">
        <v>235</v>
      </c>
      <c r="D25" t="s">
        <v>235</v>
      </c>
      <c r="E25" t="s">
        <v>235</v>
      </c>
      <c r="F25" t="s">
        <v>235</v>
      </c>
      <c r="G25" t="s">
        <v>235</v>
      </c>
      <c r="H25" t="s">
        <v>235</v>
      </c>
      <c r="I25" t="s">
        <v>235</v>
      </c>
      <c r="J25" t="s">
        <v>235</v>
      </c>
      <c r="K25" t="s">
        <v>234</v>
      </c>
      <c r="L25" t="s">
        <v>235</v>
      </c>
      <c r="M25" t="s">
        <v>235</v>
      </c>
      <c r="N25" t="s">
        <v>235</v>
      </c>
      <c r="O25" t="s">
        <v>234</v>
      </c>
      <c r="P25" t="s">
        <v>235</v>
      </c>
      <c r="Q25" t="s">
        <v>234</v>
      </c>
      <c r="R25" t="s">
        <v>235</v>
      </c>
      <c r="S25" t="s">
        <v>235</v>
      </c>
      <c r="T25" t="s">
        <v>234</v>
      </c>
      <c r="U25" t="s">
        <v>235</v>
      </c>
      <c r="V25" t="s">
        <v>235</v>
      </c>
      <c r="W25" t="s">
        <v>235</v>
      </c>
      <c r="X25" t="s">
        <v>235</v>
      </c>
      <c r="Y25" t="s">
        <v>235</v>
      </c>
      <c r="Z25" t="s">
        <v>234</v>
      </c>
      <c r="AA25" t="s">
        <v>235</v>
      </c>
      <c r="AB25">
        <f t="shared" si="0"/>
        <v>40</v>
      </c>
      <c r="AC25">
        <f>VLOOKUP(B25,'중1FO(문법주관식)'!$B$2:$H$43,7,)</f>
        <v>14</v>
      </c>
      <c r="AD25">
        <f t="shared" si="1"/>
        <v>54</v>
      </c>
      <c r="AI25" s="28">
        <f t="shared" si="2"/>
        <v>0.8</v>
      </c>
      <c r="AJ25" s="28">
        <f t="shared" si="3"/>
        <v>0.7</v>
      </c>
    </row>
    <row r="26" spans="1:36" x14ac:dyDescent="0.45">
      <c r="A26" t="s">
        <v>2</v>
      </c>
      <c r="B26" t="s">
        <v>24</v>
      </c>
      <c r="C26" t="s">
        <v>234</v>
      </c>
      <c r="D26" t="s">
        <v>235</v>
      </c>
      <c r="E26" t="s">
        <v>235</v>
      </c>
      <c r="F26" t="s">
        <v>234</v>
      </c>
      <c r="G26" t="s">
        <v>235</v>
      </c>
      <c r="H26" t="s">
        <v>234</v>
      </c>
      <c r="I26" t="s">
        <v>235</v>
      </c>
      <c r="J26" t="s">
        <v>234</v>
      </c>
      <c r="K26" t="s">
        <v>234</v>
      </c>
      <c r="L26" t="s">
        <v>235</v>
      </c>
      <c r="M26" t="s">
        <v>235</v>
      </c>
      <c r="N26" t="s">
        <v>235</v>
      </c>
      <c r="O26" t="s">
        <v>234</v>
      </c>
      <c r="P26" t="s">
        <v>234</v>
      </c>
      <c r="Q26" t="s">
        <v>234</v>
      </c>
      <c r="R26" t="s">
        <v>234</v>
      </c>
      <c r="S26" t="s">
        <v>234</v>
      </c>
      <c r="T26" t="s">
        <v>234</v>
      </c>
      <c r="U26" t="s">
        <v>234</v>
      </c>
      <c r="V26" t="s">
        <v>234</v>
      </c>
      <c r="W26" t="s">
        <v>235</v>
      </c>
      <c r="X26" t="s">
        <v>234</v>
      </c>
      <c r="Y26" t="s">
        <v>235</v>
      </c>
      <c r="Z26" t="s">
        <v>234</v>
      </c>
      <c r="AA26" t="s">
        <v>234</v>
      </c>
      <c r="AB26">
        <f t="shared" si="0"/>
        <v>18</v>
      </c>
      <c r="AC26">
        <f>VLOOKUP(B26,'중1FO(문법주관식)'!$B$2:$H$43,7,)</f>
        <v>10</v>
      </c>
      <c r="AD26">
        <f t="shared" si="1"/>
        <v>28</v>
      </c>
      <c r="AI26" s="28">
        <f t="shared" si="2"/>
        <v>0.36</v>
      </c>
      <c r="AJ26" s="28">
        <f t="shared" si="3"/>
        <v>0.5</v>
      </c>
    </row>
    <row r="27" spans="1:36" x14ac:dyDescent="0.45">
      <c r="A27" t="s">
        <v>2</v>
      </c>
      <c r="B27" t="s">
        <v>25</v>
      </c>
      <c r="C27" t="s">
        <v>235</v>
      </c>
      <c r="D27" t="s">
        <v>235</v>
      </c>
      <c r="E27" t="s">
        <v>235</v>
      </c>
      <c r="F27" t="s">
        <v>235</v>
      </c>
      <c r="G27" t="s">
        <v>235</v>
      </c>
      <c r="H27" t="s">
        <v>235</v>
      </c>
      <c r="I27" t="s">
        <v>235</v>
      </c>
      <c r="J27" t="s">
        <v>235</v>
      </c>
      <c r="K27" t="s">
        <v>235</v>
      </c>
      <c r="L27" t="s">
        <v>235</v>
      </c>
      <c r="M27" t="s">
        <v>235</v>
      </c>
      <c r="N27" t="s">
        <v>235</v>
      </c>
      <c r="O27" t="s">
        <v>235</v>
      </c>
      <c r="P27" t="s">
        <v>235</v>
      </c>
      <c r="Q27" t="s">
        <v>235</v>
      </c>
      <c r="R27" t="s">
        <v>235</v>
      </c>
      <c r="S27" t="s">
        <v>234</v>
      </c>
      <c r="T27" t="s">
        <v>235</v>
      </c>
      <c r="U27" t="s">
        <v>235</v>
      </c>
      <c r="V27" t="s">
        <v>235</v>
      </c>
      <c r="W27" t="s">
        <v>235</v>
      </c>
      <c r="X27" t="s">
        <v>235</v>
      </c>
      <c r="Y27" t="s">
        <v>235</v>
      </c>
      <c r="Z27" t="s">
        <v>235</v>
      </c>
      <c r="AA27" t="s">
        <v>235</v>
      </c>
      <c r="AB27">
        <f t="shared" si="0"/>
        <v>48</v>
      </c>
      <c r="AC27">
        <f>VLOOKUP(B27,'중1FO(문법주관식)'!$B$2:$H$43,7,)</f>
        <v>18</v>
      </c>
      <c r="AD27">
        <f t="shared" si="1"/>
        <v>66</v>
      </c>
      <c r="AI27" s="28">
        <f t="shared" si="2"/>
        <v>0.96</v>
      </c>
      <c r="AJ27" s="28">
        <f t="shared" si="3"/>
        <v>0.9</v>
      </c>
    </row>
    <row r="28" spans="1:36" x14ac:dyDescent="0.45">
      <c r="A28" t="s">
        <v>2</v>
      </c>
      <c r="B28" t="s">
        <v>26</v>
      </c>
      <c r="C28" t="s">
        <v>234</v>
      </c>
      <c r="D28" t="s">
        <v>235</v>
      </c>
      <c r="E28" t="s">
        <v>235</v>
      </c>
      <c r="F28" t="s">
        <v>235</v>
      </c>
      <c r="G28" t="s">
        <v>235</v>
      </c>
      <c r="H28" t="s">
        <v>235</v>
      </c>
      <c r="I28" t="s">
        <v>235</v>
      </c>
      <c r="J28" t="s">
        <v>234</v>
      </c>
      <c r="K28" t="s">
        <v>234</v>
      </c>
      <c r="L28" t="s">
        <v>234</v>
      </c>
      <c r="M28" t="s">
        <v>234</v>
      </c>
      <c r="N28" t="s">
        <v>235</v>
      </c>
      <c r="O28" t="s">
        <v>235</v>
      </c>
      <c r="P28" t="s">
        <v>235</v>
      </c>
      <c r="Q28" t="s">
        <v>235</v>
      </c>
      <c r="R28" t="s">
        <v>235</v>
      </c>
      <c r="S28" t="s">
        <v>234</v>
      </c>
      <c r="T28" t="s">
        <v>235</v>
      </c>
      <c r="U28" t="s">
        <v>235</v>
      </c>
      <c r="V28" t="s">
        <v>234</v>
      </c>
      <c r="W28" t="s">
        <v>235</v>
      </c>
      <c r="X28" t="s">
        <v>234</v>
      </c>
      <c r="Y28" t="s">
        <v>235</v>
      </c>
      <c r="Z28" t="s">
        <v>234</v>
      </c>
      <c r="AA28" t="s">
        <v>235</v>
      </c>
      <c r="AB28">
        <f t="shared" si="0"/>
        <v>32</v>
      </c>
      <c r="AC28">
        <f>VLOOKUP(B28,'중1FO(문법주관식)'!$B$2:$H$43,7,)</f>
        <v>16</v>
      </c>
      <c r="AD28">
        <f t="shared" si="1"/>
        <v>48</v>
      </c>
      <c r="AI28" s="28">
        <f t="shared" si="2"/>
        <v>0.64</v>
      </c>
      <c r="AJ28" s="28">
        <f t="shared" si="3"/>
        <v>0.8</v>
      </c>
    </row>
    <row r="29" spans="1:36" x14ac:dyDescent="0.45">
      <c r="A29" t="s">
        <v>2</v>
      </c>
      <c r="B29" t="s">
        <v>27</v>
      </c>
      <c r="C29" t="s">
        <v>235</v>
      </c>
      <c r="D29" t="s">
        <v>235</v>
      </c>
      <c r="E29" t="s">
        <v>235</v>
      </c>
      <c r="F29" t="s">
        <v>235</v>
      </c>
      <c r="G29" t="s">
        <v>235</v>
      </c>
      <c r="H29" t="s">
        <v>235</v>
      </c>
      <c r="I29" t="s">
        <v>235</v>
      </c>
      <c r="J29" t="s">
        <v>235</v>
      </c>
      <c r="K29" t="s">
        <v>235</v>
      </c>
      <c r="L29" t="s">
        <v>235</v>
      </c>
      <c r="M29" t="s">
        <v>235</v>
      </c>
      <c r="N29" t="s">
        <v>235</v>
      </c>
      <c r="O29" t="s">
        <v>235</v>
      </c>
      <c r="P29" t="s">
        <v>235</v>
      </c>
      <c r="Q29" t="s">
        <v>234</v>
      </c>
      <c r="R29" t="s">
        <v>235</v>
      </c>
      <c r="S29" t="s">
        <v>234</v>
      </c>
      <c r="T29" t="s">
        <v>235</v>
      </c>
      <c r="U29" t="s">
        <v>235</v>
      </c>
      <c r="V29" t="s">
        <v>235</v>
      </c>
      <c r="W29" t="s">
        <v>235</v>
      </c>
      <c r="X29" t="s">
        <v>234</v>
      </c>
      <c r="Y29" t="s">
        <v>235</v>
      </c>
      <c r="Z29" t="s">
        <v>235</v>
      </c>
      <c r="AA29" t="s">
        <v>235</v>
      </c>
      <c r="AB29">
        <f t="shared" si="0"/>
        <v>44</v>
      </c>
      <c r="AC29">
        <f>VLOOKUP(B29,'중1FO(문법주관식)'!$B$2:$H$43,7,)</f>
        <v>18</v>
      </c>
      <c r="AD29">
        <f t="shared" si="1"/>
        <v>62</v>
      </c>
      <c r="AI29" s="28">
        <f t="shared" si="2"/>
        <v>0.88</v>
      </c>
      <c r="AJ29" s="28">
        <f t="shared" si="3"/>
        <v>0.9</v>
      </c>
    </row>
    <row r="30" spans="1:36" x14ac:dyDescent="0.45">
      <c r="A30" t="s">
        <v>2</v>
      </c>
      <c r="B30" t="s">
        <v>28</v>
      </c>
      <c r="C30" t="s">
        <v>234</v>
      </c>
      <c r="D30" t="s">
        <v>235</v>
      </c>
      <c r="E30" t="s">
        <v>235</v>
      </c>
      <c r="F30" t="s">
        <v>235</v>
      </c>
      <c r="G30" t="s">
        <v>235</v>
      </c>
      <c r="H30" t="s">
        <v>235</v>
      </c>
      <c r="I30" t="s">
        <v>235</v>
      </c>
      <c r="J30" t="s">
        <v>234</v>
      </c>
      <c r="K30" t="s">
        <v>234</v>
      </c>
      <c r="L30" t="s">
        <v>235</v>
      </c>
      <c r="M30" t="s">
        <v>235</v>
      </c>
      <c r="N30" t="s">
        <v>235</v>
      </c>
      <c r="O30" t="s">
        <v>235</v>
      </c>
      <c r="P30" t="s">
        <v>234</v>
      </c>
      <c r="Q30" t="s">
        <v>234</v>
      </c>
      <c r="R30" t="s">
        <v>235</v>
      </c>
      <c r="S30" t="s">
        <v>235</v>
      </c>
      <c r="T30" t="s">
        <v>235</v>
      </c>
      <c r="U30" t="s">
        <v>235</v>
      </c>
      <c r="V30" t="s">
        <v>235</v>
      </c>
      <c r="W30" t="s">
        <v>235</v>
      </c>
      <c r="X30" t="s">
        <v>234</v>
      </c>
      <c r="Y30" t="s">
        <v>234</v>
      </c>
      <c r="Z30" t="s">
        <v>235</v>
      </c>
      <c r="AA30" t="s">
        <v>234</v>
      </c>
      <c r="AB30">
        <f t="shared" si="0"/>
        <v>34</v>
      </c>
      <c r="AC30">
        <f>VLOOKUP(B30,'중1FO(문법주관식)'!$B$2:$H$43,7,)</f>
        <v>19</v>
      </c>
      <c r="AD30">
        <f t="shared" si="1"/>
        <v>53</v>
      </c>
      <c r="AI30" s="28">
        <f t="shared" si="2"/>
        <v>0.68</v>
      </c>
      <c r="AJ30" s="28">
        <f t="shared" si="3"/>
        <v>0.95</v>
      </c>
    </row>
    <row r="31" spans="1:36" x14ac:dyDescent="0.45">
      <c r="A31" t="s">
        <v>2</v>
      </c>
      <c r="B31" t="s">
        <v>29</v>
      </c>
      <c r="C31" t="s">
        <v>235</v>
      </c>
      <c r="D31" t="s">
        <v>234</v>
      </c>
      <c r="E31" t="s">
        <v>235</v>
      </c>
      <c r="F31" t="s">
        <v>234</v>
      </c>
      <c r="G31" t="s">
        <v>235</v>
      </c>
      <c r="H31" t="s">
        <v>235</v>
      </c>
      <c r="I31" t="s">
        <v>235</v>
      </c>
      <c r="J31" t="s">
        <v>235</v>
      </c>
      <c r="K31" t="s">
        <v>234</v>
      </c>
      <c r="L31" t="s">
        <v>235</v>
      </c>
      <c r="M31" t="s">
        <v>234</v>
      </c>
      <c r="N31" t="s">
        <v>235</v>
      </c>
      <c r="O31" t="s">
        <v>235</v>
      </c>
      <c r="P31" t="s">
        <v>235</v>
      </c>
      <c r="Q31" t="s">
        <v>234</v>
      </c>
      <c r="R31" t="s">
        <v>234</v>
      </c>
      <c r="S31" t="s">
        <v>234</v>
      </c>
      <c r="T31" t="s">
        <v>234</v>
      </c>
      <c r="U31" t="s">
        <v>235</v>
      </c>
      <c r="V31" t="s">
        <v>235</v>
      </c>
      <c r="W31" t="s">
        <v>235</v>
      </c>
      <c r="X31" t="s">
        <v>234</v>
      </c>
      <c r="Y31" t="s">
        <v>235</v>
      </c>
      <c r="Z31" t="s">
        <v>234</v>
      </c>
      <c r="AA31" t="s">
        <v>234</v>
      </c>
      <c r="AB31">
        <f t="shared" si="0"/>
        <v>28</v>
      </c>
      <c r="AC31">
        <f>VLOOKUP(B31,'중1FO(문법주관식)'!$B$2:$H$43,7,)</f>
        <v>11</v>
      </c>
      <c r="AD31">
        <f t="shared" si="1"/>
        <v>39</v>
      </c>
      <c r="AI31" s="28">
        <f t="shared" si="2"/>
        <v>0.56000000000000005</v>
      </c>
      <c r="AJ31" s="28">
        <f t="shared" si="3"/>
        <v>0.55000000000000004</v>
      </c>
    </row>
    <row r="32" spans="1:36" x14ac:dyDescent="0.45">
      <c r="A32" t="s">
        <v>2</v>
      </c>
      <c r="B32" t="s">
        <v>30</v>
      </c>
      <c r="C32" t="s">
        <v>235</v>
      </c>
      <c r="D32" t="s">
        <v>235</v>
      </c>
      <c r="E32" t="s">
        <v>235</v>
      </c>
      <c r="F32" t="s">
        <v>235</v>
      </c>
      <c r="G32" t="s">
        <v>235</v>
      </c>
      <c r="H32" t="s">
        <v>235</v>
      </c>
      <c r="I32" t="s">
        <v>235</v>
      </c>
      <c r="J32" t="s">
        <v>235</v>
      </c>
      <c r="K32" t="s">
        <v>234</v>
      </c>
      <c r="L32" t="s">
        <v>234</v>
      </c>
      <c r="M32" t="s">
        <v>235</v>
      </c>
      <c r="N32" t="s">
        <v>235</v>
      </c>
      <c r="O32" t="s">
        <v>235</v>
      </c>
      <c r="P32" t="s">
        <v>235</v>
      </c>
      <c r="Q32" t="s">
        <v>234</v>
      </c>
      <c r="R32" t="s">
        <v>235</v>
      </c>
      <c r="S32" t="s">
        <v>235</v>
      </c>
      <c r="T32" t="s">
        <v>234</v>
      </c>
      <c r="U32" t="s">
        <v>235</v>
      </c>
      <c r="V32" t="s">
        <v>235</v>
      </c>
      <c r="W32" t="s">
        <v>235</v>
      </c>
      <c r="X32" t="s">
        <v>234</v>
      </c>
      <c r="Y32" t="s">
        <v>234</v>
      </c>
      <c r="Z32" t="s">
        <v>235</v>
      </c>
      <c r="AA32" t="s">
        <v>234</v>
      </c>
      <c r="AB32">
        <f t="shared" si="0"/>
        <v>36</v>
      </c>
      <c r="AC32">
        <f>VLOOKUP(B32,'중1FO(문법주관식)'!$B$2:$H$43,7,)</f>
        <v>15</v>
      </c>
      <c r="AD32">
        <f t="shared" si="1"/>
        <v>51</v>
      </c>
      <c r="AI32" s="28">
        <f t="shared" si="2"/>
        <v>0.72</v>
      </c>
      <c r="AJ32" s="28">
        <f t="shared" si="3"/>
        <v>0.75</v>
      </c>
    </row>
    <row r="33" spans="1:36" x14ac:dyDescent="0.45">
      <c r="A33" t="s">
        <v>2</v>
      </c>
      <c r="B33" t="s">
        <v>31</v>
      </c>
      <c r="C33" t="s">
        <v>235</v>
      </c>
      <c r="D33" t="s">
        <v>234</v>
      </c>
      <c r="E33" t="s">
        <v>235</v>
      </c>
      <c r="F33" t="s">
        <v>235</v>
      </c>
      <c r="G33" t="s">
        <v>235</v>
      </c>
      <c r="H33" t="s">
        <v>235</v>
      </c>
      <c r="I33" t="s">
        <v>235</v>
      </c>
      <c r="J33" t="s">
        <v>235</v>
      </c>
      <c r="K33" t="s">
        <v>235</v>
      </c>
      <c r="L33" t="s">
        <v>235</v>
      </c>
      <c r="M33" t="s">
        <v>234</v>
      </c>
      <c r="N33" t="s">
        <v>235</v>
      </c>
      <c r="O33" t="s">
        <v>235</v>
      </c>
      <c r="P33" t="s">
        <v>235</v>
      </c>
      <c r="Q33" t="s">
        <v>234</v>
      </c>
      <c r="R33" t="s">
        <v>235</v>
      </c>
      <c r="S33" t="s">
        <v>235</v>
      </c>
      <c r="T33" t="s">
        <v>235</v>
      </c>
      <c r="U33" t="s">
        <v>235</v>
      </c>
      <c r="V33" t="s">
        <v>235</v>
      </c>
      <c r="W33" t="s">
        <v>235</v>
      </c>
      <c r="X33" t="s">
        <v>234</v>
      </c>
      <c r="Y33" t="s">
        <v>235</v>
      </c>
      <c r="Z33" t="s">
        <v>235</v>
      </c>
      <c r="AA33" t="s">
        <v>235</v>
      </c>
      <c r="AB33">
        <f t="shared" si="0"/>
        <v>42</v>
      </c>
      <c r="AC33">
        <f>VLOOKUP(B33,'중1FO(문법주관식)'!$B$2:$H$43,7,)</f>
        <v>17</v>
      </c>
      <c r="AD33">
        <f t="shared" si="1"/>
        <v>59</v>
      </c>
      <c r="AI33" s="28">
        <f t="shared" si="2"/>
        <v>0.84</v>
      </c>
      <c r="AJ33" s="28">
        <f t="shared" si="3"/>
        <v>0.85</v>
      </c>
    </row>
    <row r="34" spans="1:36" x14ac:dyDescent="0.45">
      <c r="A34" t="s">
        <v>2</v>
      </c>
      <c r="B34" t="s">
        <v>32</v>
      </c>
      <c r="C34" t="s">
        <v>234</v>
      </c>
      <c r="D34" t="s">
        <v>235</v>
      </c>
      <c r="E34" t="s">
        <v>235</v>
      </c>
      <c r="F34" t="s">
        <v>235</v>
      </c>
      <c r="G34" t="s">
        <v>235</v>
      </c>
      <c r="H34" t="s">
        <v>235</v>
      </c>
      <c r="I34" t="s">
        <v>235</v>
      </c>
      <c r="J34" t="s">
        <v>235</v>
      </c>
      <c r="K34" t="s">
        <v>235</v>
      </c>
      <c r="L34" t="s">
        <v>235</v>
      </c>
      <c r="M34" t="s">
        <v>235</v>
      </c>
      <c r="N34" t="s">
        <v>235</v>
      </c>
      <c r="O34" t="s">
        <v>235</v>
      </c>
      <c r="P34" t="s">
        <v>235</v>
      </c>
      <c r="Q34" t="s">
        <v>234</v>
      </c>
      <c r="R34" t="s">
        <v>235</v>
      </c>
      <c r="S34" t="s">
        <v>234</v>
      </c>
      <c r="T34" t="s">
        <v>235</v>
      </c>
      <c r="U34" t="s">
        <v>235</v>
      </c>
      <c r="V34" t="s">
        <v>235</v>
      </c>
      <c r="W34" t="s">
        <v>235</v>
      </c>
      <c r="X34" t="s">
        <v>235</v>
      </c>
      <c r="Y34" t="s">
        <v>235</v>
      </c>
      <c r="Z34" t="s">
        <v>235</v>
      </c>
      <c r="AA34" t="s">
        <v>235</v>
      </c>
      <c r="AB34">
        <f t="shared" si="0"/>
        <v>44</v>
      </c>
      <c r="AC34">
        <f>VLOOKUP(B34,'중1FO(문법주관식)'!$B$2:$H$43,7,)</f>
        <v>16</v>
      </c>
      <c r="AD34">
        <f t="shared" si="1"/>
        <v>60</v>
      </c>
      <c r="AI34" s="28">
        <f t="shared" si="2"/>
        <v>0.88</v>
      </c>
      <c r="AJ34" s="28">
        <f t="shared" si="3"/>
        <v>0.8</v>
      </c>
    </row>
    <row r="35" spans="1:36" x14ac:dyDescent="0.45">
      <c r="A35" t="s">
        <v>2</v>
      </c>
      <c r="B35" t="s">
        <v>33</v>
      </c>
      <c r="C35" t="s">
        <v>235</v>
      </c>
      <c r="D35" t="s">
        <v>235</v>
      </c>
      <c r="E35" t="s">
        <v>235</v>
      </c>
      <c r="F35" t="s">
        <v>235</v>
      </c>
      <c r="G35" t="s">
        <v>235</v>
      </c>
      <c r="H35" t="s">
        <v>235</v>
      </c>
      <c r="I35" t="s">
        <v>235</v>
      </c>
      <c r="J35" t="s">
        <v>235</v>
      </c>
      <c r="K35" t="s">
        <v>235</v>
      </c>
      <c r="L35" t="s">
        <v>235</v>
      </c>
      <c r="M35" t="s">
        <v>235</v>
      </c>
      <c r="N35" t="s">
        <v>235</v>
      </c>
      <c r="O35" t="s">
        <v>235</v>
      </c>
      <c r="P35" t="s">
        <v>235</v>
      </c>
      <c r="Q35" t="s">
        <v>234</v>
      </c>
      <c r="R35" t="s">
        <v>235</v>
      </c>
      <c r="S35" t="s">
        <v>234</v>
      </c>
      <c r="T35" t="s">
        <v>234</v>
      </c>
      <c r="U35" t="s">
        <v>235</v>
      </c>
      <c r="V35" t="s">
        <v>235</v>
      </c>
      <c r="W35" t="s">
        <v>234</v>
      </c>
      <c r="X35" t="s">
        <v>234</v>
      </c>
      <c r="Y35" t="s">
        <v>235</v>
      </c>
      <c r="Z35" t="s">
        <v>234</v>
      </c>
      <c r="AA35" t="s">
        <v>234</v>
      </c>
      <c r="AB35">
        <f t="shared" si="0"/>
        <v>36</v>
      </c>
      <c r="AC35">
        <f>VLOOKUP(B35,'중1FO(문법주관식)'!$B$2:$H$43,7,)</f>
        <v>17</v>
      </c>
      <c r="AD35">
        <f t="shared" si="1"/>
        <v>53</v>
      </c>
      <c r="AI35" s="28">
        <f t="shared" si="2"/>
        <v>0.72</v>
      </c>
      <c r="AJ35" s="28">
        <f t="shared" si="3"/>
        <v>0.85</v>
      </c>
    </row>
    <row r="36" spans="1:36" x14ac:dyDescent="0.45">
      <c r="A36" t="s">
        <v>2</v>
      </c>
      <c r="B36" t="s">
        <v>34</v>
      </c>
      <c r="C36" t="s">
        <v>235</v>
      </c>
      <c r="D36" t="s">
        <v>235</v>
      </c>
      <c r="E36" t="s">
        <v>235</v>
      </c>
      <c r="F36" t="s">
        <v>235</v>
      </c>
      <c r="G36" t="s">
        <v>235</v>
      </c>
      <c r="H36" t="s">
        <v>235</v>
      </c>
      <c r="I36" t="s">
        <v>235</v>
      </c>
      <c r="J36" t="s">
        <v>235</v>
      </c>
      <c r="K36" t="s">
        <v>234</v>
      </c>
      <c r="L36" t="s">
        <v>235</v>
      </c>
      <c r="M36" t="s">
        <v>235</v>
      </c>
      <c r="N36" t="s">
        <v>235</v>
      </c>
      <c r="O36" t="s">
        <v>234</v>
      </c>
      <c r="P36" t="s">
        <v>235</v>
      </c>
      <c r="Q36" t="s">
        <v>235</v>
      </c>
      <c r="R36" t="s">
        <v>235</v>
      </c>
      <c r="S36" t="s">
        <v>235</v>
      </c>
      <c r="T36" t="s">
        <v>235</v>
      </c>
      <c r="U36" t="s">
        <v>235</v>
      </c>
      <c r="V36" t="s">
        <v>235</v>
      </c>
      <c r="W36" t="s">
        <v>234</v>
      </c>
      <c r="X36" t="s">
        <v>235</v>
      </c>
      <c r="Y36" t="s">
        <v>235</v>
      </c>
      <c r="Z36" t="s">
        <v>235</v>
      </c>
      <c r="AA36" t="s">
        <v>235</v>
      </c>
      <c r="AB36">
        <f t="shared" si="0"/>
        <v>44</v>
      </c>
      <c r="AC36">
        <f>VLOOKUP(B36,'중1FO(문법주관식)'!$B$2:$H$43,7,)</f>
        <v>19</v>
      </c>
      <c r="AD36">
        <f t="shared" si="1"/>
        <v>63</v>
      </c>
      <c r="AI36" s="28">
        <f t="shared" si="2"/>
        <v>0.88</v>
      </c>
      <c r="AJ36" s="28">
        <f t="shared" si="3"/>
        <v>0.95</v>
      </c>
    </row>
    <row r="37" spans="1:36" x14ac:dyDescent="0.45">
      <c r="A37" t="s">
        <v>2</v>
      </c>
      <c r="B37" t="s">
        <v>35</v>
      </c>
      <c r="C37" t="s">
        <v>235</v>
      </c>
      <c r="D37" t="s">
        <v>235</v>
      </c>
      <c r="E37" t="s">
        <v>235</v>
      </c>
      <c r="F37" t="s">
        <v>235</v>
      </c>
      <c r="G37" t="s">
        <v>235</v>
      </c>
      <c r="H37" t="s">
        <v>235</v>
      </c>
      <c r="I37" t="s">
        <v>235</v>
      </c>
      <c r="J37" t="s">
        <v>235</v>
      </c>
      <c r="K37" t="s">
        <v>234</v>
      </c>
      <c r="L37" t="s">
        <v>235</v>
      </c>
      <c r="M37" t="s">
        <v>235</v>
      </c>
      <c r="N37" t="s">
        <v>235</v>
      </c>
      <c r="O37" t="s">
        <v>235</v>
      </c>
      <c r="P37" t="s">
        <v>235</v>
      </c>
      <c r="Q37" t="s">
        <v>235</v>
      </c>
      <c r="R37" t="s">
        <v>234</v>
      </c>
      <c r="S37" t="s">
        <v>235</v>
      </c>
      <c r="T37" t="s">
        <v>235</v>
      </c>
      <c r="U37" t="s">
        <v>235</v>
      </c>
      <c r="V37" t="s">
        <v>235</v>
      </c>
      <c r="W37" t="s">
        <v>234</v>
      </c>
      <c r="X37" t="s">
        <v>235</v>
      </c>
      <c r="Y37" t="s">
        <v>235</v>
      </c>
      <c r="Z37" t="s">
        <v>234</v>
      </c>
      <c r="AA37" t="s">
        <v>235</v>
      </c>
      <c r="AB37">
        <f t="shared" si="0"/>
        <v>42</v>
      </c>
      <c r="AC37">
        <f>VLOOKUP(B37,'중1FO(문법주관식)'!$B$2:$H$43,7,)</f>
        <v>17</v>
      </c>
      <c r="AD37">
        <f t="shared" si="1"/>
        <v>59</v>
      </c>
      <c r="AI37" s="28">
        <f t="shared" si="2"/>
        <v>0.84</v>
      </c>
      <c r="AJ37" s="28">
        <f t="shared" si="3"/>
        <v>0.85</v>
      </c>
    </row>
    <row r="38" spans="1:36" x14ac:dyDescent="0.45">
      <c r="A38" t="s">
        <v>2</v>
      </c>
      <c r="B38" t="s">
        <v>36</v>
      </c>
      <c r="C38" t="s">
        <v>235</v>
      </c>
      <c r="D38" t="s">
        <v>235</v>
      </c>
      <c r="E38" t="s">
        <v>235</v>
      </c>
      <c r="F38" t="s">
        <v>235</v>
      </c>
      <c r="G38" t="s">
        <v>235</v>
      </c>
      <c r="H38" t="s">
        <v>235</v>
      </c>
      <c r="I38" t="s">
        <v>235</v>
      </c>
      <c r="J38" t="s">
        <v>235</v>
      </c>
      <c r="K38" t="s">
        <v>234</v>
      </c>
      <c r="L38" t="s">
        <v>235</v>
      </c>
      <c r="M38" t="s">
        <v>235</v>
      </c>
      <c r="N38" t="s">
        <v>235</v>
      </c>
      <c r="O38" t="s">
        <v>235</v>
      </c>
      <c r="P38" t="s">
        <v>235</v>
      </c>
      <c r="Q38" t="s">
        <v>234</v>
      </c>
      <c r="R38" t="s">
        <v>235</v>
      </c>
      <c r="S38" t="s">
        <v>234</v>
      </c>
      <c r="T38" t="s">
        <v>234</v>
      </c>
      <c r="U38" t="s">
        <v>235</v>
      </c>
      <c r="V38" t="s">
        <v>235</v>
      </c>
      <c r="W38" t="s">
        <v>235</v>
      </c>
      <c r="X38" t="s">
        <v>235</v>
      </c>
      <c r="Y38" t="s">
        <v>235</v>
      </c>
      <c r="Z38" t="s">
        <v>234</v>
      </c>
      <c r="AA38" t="s">
        <v>235</v>
      </c>
      <c r="AB38">
        <f t="shared" si="0"/>
        <v>40</v>
      </c>
      <c r="AC38">
        <f>VLOOKUP(B38,'중1FO(문법주관식)'!$B$2:$H$43,7,)</f>
        <v>17</v>
      </c>
      <c r="AD38">
        <f t="shared" si="1"/>
        <v>57</v>
      </c>
      <c r="AI38" s="28">
        <f t="shared" si="2"/>
        <v>0.8</v>
      </c>
      <c r="AJ38" s="28">
        <f t="shared" si="3"/>
        <v>0.85</v>
      </c>
    </row>
    <row r="39" spans="1:36" x14ac:dyDescent="0.45">
      <c r="A39" t="s">
        <v>2</v>
      </c>
      <c r="B39" t="s">
        <v>37</v>
      </c>
      <c r="C39" t="s">
        <v>235</v>
      </c>
      <c r="D39" t="s">
        <v>235</v>
      </c>
      <c r="E39" t="s">
        <v>235</v>
      </c>
      <c r="F39" t="s">
        <v>235</v>
      </c>
      <c r="G39" t="s">
        <v>235</v>
      </c>
      <c r="H39" t="s">
        <v>235</v>
      </c>
      <c r="I39" t="s">
        <v>235</v>
      </c>
      <c r="J39" t="s">
        <v>235</v>
      </c>
      <c r="K39" t="s">
        <v>234</v>
      </c>
      <c r="L39" t="s">
        <v>235</v>
      </c>
      <c r="M39" t="s">
        <v>235</v>
      </c>
      <c r="N39" t="s">
        <v>235</v>
      </c>
      <c r="O39" t="s">
        <v>235</v>
      </c>
      <c r="P39" t="s">
        <v>235</v>
      </c>
      <c r="Q39" t="s">
        <v>234</v>
      </c>
      <c r="R39" t="s">
        <v>235</v>
      </c>
      <c r="S39" t="s">
        <v>235</v>
      </c>
      <c r="T39" t="s">
        <v>234</v>
      </c>
      <c r="U39" t="s">
        <v>235</v>
      </c>
      <c r="V39" t="s">
        <v>235</v>
      </c>
      <c r="W39" t="s">
        <v>235</v>
      </c>
      <c r="X39" t="s">
        <v>234</v>
      </c>
      <c r="Y39" t="s">
        <v>235</v>
      </c>
      <c r="Z39" t="s">
        <v>235</v>
      </c>
      <c r="AA39" t="s">
        <v>234</v>
      </c>
      <c r="AB39">
        <f t="shared" si="0"/>
        <v>40</v>
      </c>
      <c r="AC39">
        <f>VLOOKUP(B39,'중1FO(문법주관식)'!$B$2:$H$43,7,)</f>
        <v>20</v>
      </c>
      <c r="AD39">
        <f t="shared" si="1"/>
        <v>60</v>
      </c>
      <c r="AI39" s="28">
        <f t="shared" si="2"/>
        <v>0.8</v>
      </c>
      <c r="AJ39" s="28">
        <f t="shared" si="3"/>
        <v>1</v>
      </c>
    </row>
    <row r="40" spans="1:36" x14ac:dyDescent="0.45">
      <c r="A40" t="s">
        <v>2</v>
      </c>
      <c r="B40" t="s">
        <v>38</v>
      </c>
      <c r="C40" t="s">
        <v>235</v>
      </c>
      <c r="D40" t="s">
        <v>235</v>
      </c>
      <c r="E40" t="s">
        <v>235</v>
      </c>
      <c r="F40" t="s">
        <v>235</v>
      </c>
      <c r="G40" t="s">
        <v>235</v>
      </c>
      <c r="H40" t="s">
        <v>235</v>
      </c>
      <c r="I40" t="s">
        <v>235</v>
      </c>
      <c r="J40" t="s">
        <v>235</v>
      </c>
      <c r="K40" t="s">
        <v>235</v>
      </c>
      <c r="L40" t="s">
        <v>235</v>
      </c>
      <c r="M40" t="s">
        <v>235</v>
      </c>
      <c r="N40" t="s">
        <v>235</v>
      </c>
      <c r="O40" t="s">
        <v>235</v>
      </c>
      <c r="P40" t="s">
        <v>235</v>
      </c>
      <c r="Q40" t="s">
        <v>234</v>
      </c>
      <c r="R40" t="s">
        <v>235</v>
      </c>
      <c r="S40" t="s">
        <v>234</v>
      </c>
      <c r="T40" t="s">
        <v>234</v>
      </c>
      <c r="U40" t="s">
        <v>234</v>
      </c>
      <c r="V40" t="s">
        <v>234</v>
      </c>
      <c r="W40" t="s">
        <v>235</v>
      </c>
      <c r="X40" t="s">
        <v>235</v>
      </c>
      <c r="Y40" t="s">
        <v>235</v>
      </c>
      <c r="Z40" t="s">
        <v>235</v>
      </c>
      <c r="AA40" t="s">
        <v>235</v>
      </c>
      <c r="AB40">
        <f t="shared" si="0"/>
        <v>40</v>
      </c>
      <c r="AC40">
        <f>VLOOKUP(B40,'중1FO(문법주관식)'!$B$2:$H$43,7,)</f>
        <v>16</v>
      </c>
      <c r="AD40">
        <f t="shared" si="1"/>
        <v>56</v>
      </c>
      <c r="AI40" s="28">
        <f t="shared" si="2"/>
        <v>0.8</v>
      </c>
      <c r="AJ40" s="28">
        <f t="shared" si="3"/>
        <v>0.8</v>
      </c>
    </row>
    <row r="41" spans="1:36" x14ac:dyDescent="0.45">
      <c r="A41" t="s">
        <v>2</v>
      </c>
      <c r="B41" t="s">
        <v>39</v>
      </c>
      <c r="C41" t="s">
        <v>235</v>
      </c>
      <c r="D41" t="s">
        <v>235</v>
      </c>
      <c r="E41" t="s">
        <v>235</v>
      </c>
      <c r="F41" t="s">
        <v>235</v>
      </c>
      <c r="G41" t="s">
        <v>234</v>
      </c>
      <c r="H41" t="s">
        <v>235</v>
      </c>
      <c r="I41" t="s">
        <v>235</v>
      </c>
      <c r="J41" t="s">
        <v>235</v>
      </c>
      <c r="K41" t="s">
        <v>234</v>
      </c>
      <c r="L41" t="s">
        <v>234</v>
      </c>
      <c r="M41" t="s">
        <v>235</v>
      </c>
      <c r="N41" t="s">
        <v>235</v>
      </c>
      <c r="O41" t="s">
        <v>235</v>
      </c>
      <c r="P41" t="s">
        <v>235</v>
      </c>
      <c r="Q41" t="s">
        <v>235</v>
      </c>
      <c r="R41" t="s">
        <v>235</v>
      </c>
      <c r="S41" t="s">
        <v>234</v>
      </c>
      <c r="T41" t="s">
        <v>235</v>
      </c>
      <c r="U41" t="s">
        <v>235</v>
      </c>
      <c r="V41" t="s">
        <v>235</v>
      </c>
      <c r="W41" t="s">
        <v>234</v>
      </c>
      <c r="X41" t="s">
        <v>234</v>
      </c>
      <c r="Y41" t="s">
        <v>234</v>
      </c>
      <c r="Z41" t="s">
        <v>234</v>
      </c>
      <c r="AA41" t="s">
        <v>235</v>
      </c>
      <c r="AB41">
        <f t="shared" si="0"/>
        <v>34</v>
      </c>
      <c r="AC41">
        <f>VLOOKUP(B41,'중1FO(문법주관식)'!$B$2:$H$43,7,)</f>
        <v>14</v>
      </c>
      <c r="AD41">
        <f t="shared" si="1"/>
        <v>48</v>
      </c>
      <c r="AI41" s="28">
        <f t="shared" si="2"/>
        <v>0.68</v>
      </c>
      <c r="AJ41" s="28">
        <f t="shared" si="3"/>
        <v>0.7</v>
      </c>
    </row>
    <row r="42" spans="1:36" x14ac:dyDescent="0.45">
      <c r="A42" t="s">
        <v>2</v>
      </c>
      <c r="B42" t="s">
        <v>40</v>
      </c>
      <c r="C42" t="s">
        <v>235</v>
      </c>
      <c r="D42" t="s">
        <v>235</v>
      </c>
      <c r="E42" t="s">
        <v>235</v>
      </c>
      <c r="F42" t="s">
        <v>235</v>
      </c>
      <c r="G42" t="s">
        <v>235</v>
      </c>
      <c r="H42" t="s">
        <v>235</v>
      </c>
      <c r="I42" t="s">
        <v>235</v>
      </c>
      <c r="J42" t="s">
        <v>235</v>
      </c>
      <c r="K42" t="s">
        <v>234</v>
      </c>
      <c r="L42" t="s">
        <v>235</v>
      </c>
      <c r="M42" t="s">
        <v>235</v>
      </c>
      <c r="N42" t="s">
        <v>235</v>
      </c>
      <c r="O42" t="s">
        <v>235</v>
      </c>
      <c r="P42" t="s">
        <v>235</v>
      </c>
      <c r="Q42" t="s">
        <v>234</v>
      </c>
      <c r="R42" t="s">
        <v>235</v>
      </c>
      <c r="S42" t="s">
        <v>235</v>
      </c>
      <c r="T42" t="s">
        <v>234</v>
      </c>
      <c r="U42" t="s">
        <v>235</v>
      </c>
      <c r="V42" t="s">
        <v>235</v>
      </c>
      <c r="W42" t="s">
        <v>235</v>
      </c>
      <c r="X42" t="s">
        <v>235</v>
      </c>
      <c r="Y42" t="s">
        <v>234</v>
      </c>
      <c r="Z42" t="s">
        <v>235</v>
      </c>
      <c r="AA42" t="s">
        <v>234</v>
      </c>
      <c r="AB42">
        <f t="shared" si="0"/>
        <v>40</v>
      </c>
      <c r="AC42">
        <f>VLOOKUP(B42,'중1FO(문법주관식)'!$B$2:$H$43,7,)</f>
        <v>17</v>
      </c>
      <c r="AD42">
        <f t="shared" si="1"/>
        <v>57</v>
      </c>
      <c r="AI42" s="28">
        <f t="shared" si="2"/>
        <v>0.8</v>
      </c>
      <c r="AJ42" s="28">
        <f t="shared" si="3"/>
        <v>0.85</v>
      </c>
    </row>
    <row r="43" spans="1:36" x14ac:dyDescent="0.45">
      <c r="A43" t="s">
        <v>2</v>
      </c>
      <c r="B43" t="s">
        <v>41</v>
      </c>
      <c r="C43" t="s">
        <v>234</v>
      </c>
      <c r="D43" t="s">
        <v>235</v>
      </c>
      <c r="E43" t="s">
        <v>235</v>
      </c>
      <c r="F43" t="s">
        <v>235</v>
      </c>
      <c r="G43" t="s">
        <v>235</v>
      </c>
      <c r="H43" t="s">
        <v>235</v>
      </c>
      <c r="I43" t="s">
        <v>235</v>
      </c>
      <c r="J43" t="s">
        <v>235</v>
      </c>
      <c r="K43" t="s">
        <v>235</v>
      </c>
      <c r="L43" t="s">
        <v>235</v>
      </c>
      <c r="M43" t="s">
        <v>235</v>
      </c>
      <c r="N43" t="s">
        <v>235</v>
      </c>
      <c r="O43" t="s">
        <v>234</v>
      </c>
      <c r="P43" t="s">
        <v>235</v>
      </c>
      <c r="Q43" t="s">
        <v>235</v>
      </c>
      <c r="R43" t="s">
        <v>234</v>
      </c>
      <c r="S43" t="s">
        <v>234</v>
      </c>
      <c r="T43" t="s">
        <v>234</v>
      </c>
      <c r="U43" t="s">
        <v>235</v>
      </c>
      <c r="V43" t="s">
        <v>235</v>
      </c>
      <c r="W43" t="s">
        <v>234</v>
      </c>
      <c r="X43" t="s">
        <v>235</v>
      </c>
      <c r="Y43" t="s">
        <v>234</v>
      </c>
      <c r="Z43" t="s">
        <v>234</v>
      </c>
      <c r="AA43" t="s">
        <v>234</v>
      </c>
      <c r="AB43">
        <f t="shared" si="0"/>
        <v>32</v>
      </c>
      <c r="AC43">
        <f>VLOOKUP(B43,'중1FO(문법주관식)'!$B$2:$H$43,7,)</f>
        <v>12</v>
      </c>
      <c r="AD43">
        <f t="shared" si="1"/>
        <v>44</v>
      </c>
      <c r="AI43" s="28">
        <f t="shared" si="2"/>
        <v>0.64</v>
      </c>
      <c r="AJ43" s="28">
        <f t="shared" si="3"/>
        <v>0.6</v>
      </c>
    </row>
    <row r="44" spans="1:36" x14ac:dyDescent="0.45">
      <c r="A44" t="s">
        <v>2</v>
      </c>
      <c r="B44" t="s">
        <v>42</v>
      </c>
      <c r="C44" t="s">
        <v>235</v>
      </c>
      <c r="D44" t="s">
        <v>235</v>
      </c>
      <c r="E44" t="s">
        <v>235</v>
      </c>
      <c r="F44" t="s">
        <v>235</v>
      </c>
      <c r="G44" t="s">
        <v>235</v>
      </c>
      <c r="H44" t="s">
        <v>235</v>
      </c>
      <c r="I44" t="s">
        <v>235</v>
      </c>
      <c r="J44" t="s">
        <v>235</v>
      </c>
      <c r="K44" t="s">
        <v>234</v>
      </c>
      <c r="L44" t="s">
        <v>234</v>
      </c>
      <c r="M44" t="s">
        <v>235</v>
      </c>
      <c r="N44" t="s">
        <v>235</v>
      </c>
      <c r="O44" t="s">
        <v>235</v>
      </c>
      <c r="P44" t="s">
        <v>235</v>
      </c>
      <c r="Q44" t="s">
        <v>234</v>
      </c>
      <c r="R44" t="s">
        <v>235</v>
      </c>
      <c r="S44" t="s">
        <v>234</v>
      </c>
      <c r="T44" t="s">
        <v>234</v>
      </c>
      <c r="U44" t="s">
        <v>235</v>
      </c>
      <c r="V44" t="s">
        <v>235</v>
      </c>
      <c r="W44" t="s">
        <v>234</v>
      </c>
      <c r="X44" t="s">
        <v>234</v>
      </c>
      <c r="Y44" t="s">
        <v>235</v>
      </c>
      <c r="Z44" t="s">
        <v>234</v>
      </c>
      <c r="AA44" t="s">
        <v>235</v>
      </c>
      <c r="AB44">
        <f t="shared" si="0"/>
        <v>34</v>
      </c>
      <c r="AC44">
        <f>VLOOKUP(B44,'중1FO(문법주관식)'!$B$2:$H$43,7,)</f>
        <v>10</v>
      </c>
      <c r="AD44">
        <f t="shared" si="1"/>
        <v>44</v>
      </c>
      <c r="AE44">
        <f>AVERAGE(AD3:AD44)</f>
        <v>52.5</v>
      </c>
      <c r="AI44" s="28">
        <f t="shared" si="2"/>
        <v>0.68</v>
      </c>
      <c r="AJ44" s="28">
        <f t="shared" si="3"/>
        <v>0.5</v>
      </c>
    </row>
    <row r="45" spans="1:36" x14ac:dyDescent="0.45">
      <c r="AI45" s="28"/>
      <c r="AJ45" s="28"/>
    </row>
    <row r="46" spans="1:36" x14ac:dyDescent="0.45">
      <c r="C46" t="s">
        <v>109</v>
      </c>
      <c r="D46" t="s">
        <v>109</v>
      </c>
      <c r="E46" t="s">
        <v>109</v>
      </c>
      <c r="F46" t="s">
        <v>110</v>
      </c>
      <c r="G46" t="s">
        <v>109</v>
      </c>
      <c r="H46" t="s">
        <v>111</v>
      </c>
      <c r="I46" t="s">
        <v>111</v>
      </c>
      <c r="J46" t="s">
        <v>111</v>
      </c>
      <c r="K46" t="s">
        <v>111</v>
      </c>
      <c r="L46" t="s">
        <v>109</v>
      </c>
      <c r="M46" t="s">
        <v>109</v>
      </c>
      <c r="N46" t="s">
        <v>109</v>
      </c>
      <c r="O46" t="s">
        <v>109</v>
      </c>
      <c r="P46" t="s">
        <v>111</v>
      </c>
      <c r="Q46" t="s">
        <v>110</v>
      </c>
      <c r="R46" t="s">
        <v>110</v>
      </c>
      <c r="S46" t="s">
        <v>109</v>
      </c>
      <c r="T46" t="s">
        <v>109</v>
      </c>
      <c r="U46" t="s">
        <v>111</v>
      </c>
      <c r="V46" t="s">
        <v>110</v>
      </c>
      <c r="W46" t="s">
        <v>110</v>
      </c>
      <c r="X46" t="s">
        <v>109</v>
      </c>
      <c r="Y46" t="s">
        <v>109</v>
      </c>
      <c r="Z46" t="s">
        <v>110</v>
      </c>
      <c r="AA46" t="s">
        <v>109</v>
      </c>
      <c r="AI46" s="28"/>
      <c r="AJ46" s="28"/>
    </row>
    <row r="47" spans="1:36" x14ac:dyDescent="0.45">
      <c r="A47" t="s">
        <v>43</v>
      </c>
      <c r="B47" t="s">
        <v>175</v>
      </c>
      <c r="C47" t="s">
        <v>235</v>
      </c>
      <c r="D47" t="s">
        <v>235</v>
      </c>
      <c r="E47" t="s">
        <v>235</v>
      </c>
      <c r="F47" t="s">
        <v>235</v>
      </c>
      <c r="G47" t="s">
        <v>235</v>
      </c>
      <c r="H47" t="s">
        <v>235</v>
      </c>
      <c r="I47" t="s">
        <v>235</v>
      </c>
      <c r="J47" t="s">
        <v>235</v>
      </c>
      <c r="K47" t="s">
        <v>235</v>
      </c>
      <c r="L47" t="s">
        <v>235</v>
      </c>
      <c r="M47" t="s">
        <v>235</v>
      </c>
      <c r="N47" t="s">
        <v>234</v>
      </c>
      <c r="O47" t="s">
        <v>235</v>
      </c>
      <c r="P47" t="s">
        <v>235</v>
      </c>
      <c r="Q47" t="s">
        <v>235</v>
      </c>
      <c r="R47" t="s">
        <v>235</v>
      </c>
      <c r="S47" t="s">
        <v>235</v>
      </c>
      <c r="T47" t="s">
        <v>235</v>
      </c>
      <c r="U47" t="s">
        <v>235</v>
      </c>
      <c r="V47" t="s">
        <v>235</v>
      </c>
      <c r="W47" t="s">
        <v>235</v>
      </c>
      <c r="X47" t="s">
        <v>235</v>
      </c>
      <c r="Y47" t="s">
        <v>235</v>
      </c>
      <c r="Z47" t="s">
        <v>235</v>
      </c>
      <c r="AA47" t="s">
        <v>235</v>
      </c>
      <c r="AB47">
        <f t="shared" si="0"/>
        <v>48</v>
      </c>
      <c r="AC47" t="s">
        <v>238</v>
      </c>
      <c r="AD47">
        <f t="shared" si="1"/>
        <v>48</v>
      </c>
      <c r="AI47" s="28">
        <f t="shared" si="2"/>
        <v>0.96</v>
      </c>
      <c r="AJ47" s="28" t="e">
        <f t="shared" si="3"/>
        <v>#VALUE!</v>
      </c>
    </row>
    <row r="48" spans="1:36" x14ac:dyDescent="0.45">
      <c r="A48" t="s">
        <v>43</v>
      </c>
      <c r="B48" t="s">
        <v>176</v>
      </c>
      <c r="C48" t="s">
        <v>234</v>
      </c>
      <c r="D48" t="s">
        <v>234</v>
      </c>
      <c r="E48" t="s">
        <v>234</v>
      </c>
      <c r="F48" t="s">
        <v>235</v>
      </c>
      <c r="G48" t="s">
        <v>235</v>
      </c>
      <c r="H48" t="s">
        <v>235</v>
      </c>
      <c r="I48" t="s">
        <v>235</v>
      </c>
      <c r="J48" t="s">
        <v>235</v>
      </c>
      <c r="K48" t="s">
        <v>234</v>
      </c>
      <c r="L48" t="s">
        <v>235</v>
      </c>
      <c r="M48" t="s">
        <v>235</v>
      </c>
      <c r="N48" t="s">
        <v>235</v>
      </c>
      <c r="O48" t="s">
        <v>234</v>
      </c>
      <c r="P48" t="s">
        <v>234</v>
      </c>
      <c r="Q48" t="s">
        <v>234</v>
      </c>
      <c r="R48" t="s">
        <v>234</v>
      </c>
      <c r="S48" t="s">
        <v>235</v>
      </c>
      <c r="T48" t="s">
        <v>235</v>
      </c>
      <c r="U48" t="s">
        <v>235</v>
      </c>
      <c r="V48" t="s">
        <v>234</v>
      </c>
      <c r="W48" t="s">
        <v>235</v>
      </c>
      <c r="X48" t="s">
        <v>234</v>
      </c>
      <c r="Y48" t="s">
        <v>234</v>
      </c>
      <c r="Z48" t="s">
        <v>235</v>
      </c>
      <c r="AA48" t="s">
        <v>234</v>
      </c>
      <c r="AB48">
        <f t="shared" si="0"/>
        <v>26</v>
      </c>
      <c r="AC48" t="s">
        <v>238</v>
      </c>
      <c r="AD48">
        <f t="shared" si="1"/>
        <v>26</v>
      </c>
      <c r="AI48" s="28">
        <f t="shared" si="2"/>
        <v>0.52</v>
      </c>
      <c r="AJ48" s="28" t="e">
        <f t="shared" si="3"/>
        <v>#VALUE!</v>
      </c>
    </row>
    <row r="49" spans="1:36" x14ac:dyDescent="0.45">
      <c r="A49" t="s">
        <v>43</v>
      </c>
      <c r="B49" t="s">
        <v>174</v>
      </c>
      <c r="C49" t="s">
        <v>234</v>
      </c>
      <c r="D49" t="s">
        <v>234</v>
      </c>
      <c r="E49" t="s">
        <v>234</v>
      </c>
      <c r="F49" t="s">
        <v>235</v>
      </c>
      <c r="G49" t="s">
        <v>235</v>
      </c>
      <c r="H49" t="s">
        <v>235</v>
      </c>
      <c r="I49" t="s">
        <v>234</v>
      </c>
      <c r="J49" t="s">
        <v>235</v>
      </c>
      <c r="K49" t="s">
        <v>235</v>
      </c>
      <c r="L49" t="s">
        <v>234</v>
      </c>
      <c r="M49" t="s">
        <v>235</v>
      </c>
      <c r="N49" t="s">
        <v>234</v>
      </c>
      <c r="O49" t="s">
        <v>235</v>
      </c>
      <c r="P49" t="s">
        <v>235</v>
      </c>
      <c r="Q49" t="s">
        <v>235</v>
      </c>
      <c r="R49" t="s">
        <v>234</v>
      </c>
      <c r="S49" t="s">
        <v>235</v>
      </c>
      <c r="T49" t="s">
        <v>235</v>
      </c>
      <c r="U49" t="s">
        <v>234</v>
      </c>
      <c r="V49" t="s">
        <v>234</v>
      </c>
      <c r="W49" t="s">
        <v>235</v>
      </c>
      <c r="X49" t="s">
        <v>234</v>
      </c>
      <c r="Y49" t="s">
        <v>234</v>
      </c>
      <c r="Z49" t="s">
        <v>235</v>
      </c>
      <c r="AA49" t="s">
        <v>234</v>
      </c>
      <c r="AB49">
        <f t="shared" si="0"/>
        <v>26</v>
      </c>
      <c r="AC49" t="s">
        <v>238</v>
      </c>
      <c r="AD49">
        <f t="shared" si="1"/>
        <v>26</v>
      </c>
      <c r="AI49" s="28">
        <f t="shared" si="2"/>
        <v>0.52</v>
      </c>
      <c r="AJ49" s="28" t="e">
        <f t="shared" si="3"/>
        <v>#VALUE!</v>
      </c>
    </row>
    <row r="50" spans="1:36" x14ac:dyDescent="0.45">
      <c r="A50" t="s">
        <v>43</v>
      </c>
      <c r="B50" t="s">
        <v>177</v>
      </c>
      <c r="C50" t="s">
        <v>234</v>
      </c>
      <c r="D50" t="s">
        <v>234</v>
      </c>
      <c r="E50" t="s">
        <v>234</v>
      </c>
      <c r="F50" t="s">
        <v>234</v>
      </c>
      <c r="G50" t="s">
        <v>235</v>
      </c>
      <c r="H50" t="s">
        <v>235</v>
      </c>
      <c r="I50" t="s">
        <v>235</v>
      </c>
      <c r="J50" t="s">
        <v>234</v>
      </c>
      <c r="K50" t="s">
        <v>235</v>
      </c>
      <c r="L50" t="s">
        <v>235</v>
      </c>
      <c r="M50" t="s">
        <v>234</v>
      </c>
      <c r="N50" t="s">
        <v>234</v>
      </c>
      <c r="O50" t="s">
        <v>234</v>
      </c>
      <c r="P50" t="s">
        <v>234</v>
      </c>
      <c r="Q50" t="s">
        <v>234</v>
      </c>
      <c r="R50" t="s">
        <v>234</v>
      </c>
      <c r="S50" t="s">
        <v>235</v>
      </c>
      <c r="T50" t="s">
        <v>235</v>
      </c>
      <c r="U50" t="s">
        <v>235</v>
      </c>
      <c r="V50" t="s">
        <v>234</v>
      </c>
      <c r="W50" t="s">
        <v>235</v>
      </c>
      <c r="X50" t="s">
        <v>235</v>
      </c>
      <c r="Y50" t="s">
        <v>235</v>
      </c>
      <c r="Z50" t="s">
        <v>235</v>
      </c>
      <c r="AA50" t="s">
        <v>235</v>
      </c>
      <c r="AB50">
        <f t="shared" si="0"/>
        <v>26</v>
      </c>
      <c r="AC50" t="s">
        <v>238</v>
      </c>
      <c r="AD50">
        <f t="shared" si="1"/>
        <v>26</v>
      </c>
      <c r="AI50" s="28">
        <f t="shared" si="2"/>
        <v>0.52</v>
      </c>
      <c r="AJ50" s="28" t="e">
        <f t="shared" si="3"/>
        <v>#VALUE!</v>
      </c>
    </row>
    <row r="51" spans="1:36" x14ac:dyDescent="0.45">
      <c r="A51" t="s">
        <v>43</v>
      </c>
      <c r="B51" t="s">
        <v>44</v>
      </c>
      <c r="C51" t="s">
        <v>235</v>
      </c>
      <c r="D51" t="s">
        <v>234</v>
      </c>
      <c r="E51" t="s">
        <v>234</v>
      </c>
      <c r="F51" t="s">
        <v>234</v>
      </c>
      <c r="G51" t="s">
        <v>234</v>
      </c>
      <c r="H51" t="s">
        <v>235</v>
      </c>
      <c r="I51" t="s">
        <v>234</v>
      </c>
      <c r="J51" t="s">
        <v>234</v>
      </c>
      <c r="K51" t="s">
        <v>234</v>
      </c>
      <c r="L51" t="s">
        <v>235</v>
      </c>
      <c r="M51" t="s">
        <v>234</v>
      </c>
      <c r="N51" t="s">
        <v>235</v>
      </c>
      <c r="O51" t="s">
        <v>234</v>
      </c>
      <c r="P51" t="s">
        <v>234</v>
      </c>
      <c r="Q51" t="s">
        <v>235</v>
      </c>
      <c r="R51" t="s">
        <v>234</v>
      </c>
      <c r="S51" t="s">
        <v>235</v>
      </c>
      <c r="T51" t="s">
        <v>234</v>
      </c>
      <c r="U51" t="s">
        <v>234</v>
      </c>
      <c r="V51" t="s">
        <v>235</v>
      </c>
      <c r="W51" t="s">
        <v>234</v>
      </c>
      <c r="X51" t="s">
        <v>234</v>
      </c>
      <c r="Y51" t="s">
        <v>234</v>
      </c>
      <c r="Z51" t="s">
        <v>235</v>
      </c>
      <c r="AA51" t="s">
        <v>234</v>
      </c>
      <c r="AB51">
        <f t="shared" si="0"/>
        <v>16</v>
      </c>
      <c r="AC51">
        <f>VLOOKUP(B51,'중1INTER(문법주관식)'!$B$2:$H$21,7,)</f>
        <v>16</v>
      </c>
      <c r="AD51">
        <f t="shared" si="1"/>
        <v>32</v>
      </c>
      <c r="AI51" s="28">
        <f t="shared" si="2"/>
        <v>0.32</v>
      </c>
      <c r="AJ51" s="28">
        <f t="shared" si="3"/>
        <v>0.8</v>
      </c>
    </row>
    <row r="52" spans="1:36" x14ac:dyDescent="0.45">
      <c r="A52" t="s">
        <v>43</v>
      </c>
      <c r="B52" t="s">
        <v>45</v>
      </c>
      <c r="C52" t="s">
        <v>234</v>
      </c>
      <c r="D52" t="s">
        <v>234</v>
      </c>
      <c r="E52" t="s">
        <v>235</v>
      </c>
      <c r="F52" t="s">
        <v>235</v>
      </c>
      <c r="G52" t="s">
        <v>235</v>
      </c>
      <c r="H52" t="s">
        <v>235</v>
      </c>
      <c r="I52" t="s">
        <v>235</v>
      </c>
      <c r="J52" t="s">
        <v>235</v>
      </c>
      <c r="K52" t="s">
        <v>235</v>
      </c>
      <c r="L52" t="s">
        <v>235</v>
      </c>
      <c r="M52" t="s">
        <v>235</v>
      </c>
      <c r="N52" t="s">
        <v>235</v>
      </c>
      <c r="O52" t="s">
        <v>234</v>
      </c>
      <c r="P52" t="s">
        <v>235</v>
      </c>
      <c r="Q52" t="s">
        <v>234</v>
      </c>
      <c r="R52" t="s">
        <v>235</v>
      </c>
      <c r="S52" t="s">
        <v>235</v>
      </c>
      <c r="T52" t="s">
        <v>235</v>
      </c>
      <c r="U52" t="s">
        <v>235</v>
      </c>
      <c r="V52" t="s">
        <v>234</v>
      </c>
      <c r="W52" t="s">
        <v>235</v>
      </c>
      <c r="X52" t="s">
        <v>234</v>
      </c>
      <c r="Y52" t="s">
        <v>235</v>
      </c>
      <c r="Z52" t="s">
        <v>235</v>
      </c>
      <c r="AA52" t="s">
        <v>235</v>
      </c>
      <c r="AB52">
        <f t="shared" si="0"/>
        <v>38</v>
      </c>
      <c r="AC52">
        <f>VLOOKUP(B52,'중1INTER(문법주관식)'!$B$2:$H$21,7,)</f>
        <v>18</v>
      </c>
      <c r="AD52">
        <f t="shared" si="1"/>
        <v>56</v>
      </c>
      <c r="AI52" s="28">
        <f t="shared" si="2"/>
        <v>0.76</v>
      </c>
      <c r="AJ52" s="28">
        <f t="shared" si="3"/>
        <v>0.9</v>
      </c>
    </row>
    <row r="53" spans="1:36" x14ac:dyDescent="0.45">
      <c r="A53" t="s">
        <v>43</v>
      </c>
      <c r="B53" t="s">
        <v>46</v>
      </c>
      <c r="C53" t="s">
        <v>235</v>
      </c>
      <c r="D53" t="s">
        <v>234</v>
      </c>
      <c r="E53" t="s">
        <v>235</v>
      </c>
      <c r="F53" t="s">
        <v>234</v>
      </c>
      <c r="G53" t="s">
        <v>235</v>
      </c>
      <c r="H53" t="s">
        <v>235</v>
      </c>
      <c r="I53" t="s">
        <v>235</v>
      </c>
      <c r="J53" t="s">
        <v>234</v>
      </c>
      <c r="K53" t="s">
        <v>234</v>
      </c>
      <c r="L53" t="s">
        <v>235</v>
      </c>
      <c r="M53" t="s">
        <v>235</v>
      </c>
      <c r="N53" t="s">
        <v>234</v>
      </c>
      <c r="O53" t="s">
        <v>235</v>
      </c>
      <c r="P53" t="s">
        <v>235</v>
      </c>
      <c r="Q53" t="s">
        <v>234</v>
      </c>
      <c r="R53" t="s">
        <v>235</v>
      </c>
      <c r="S53" t="s">
        <v>235</v>
      </c>
      <c r="T53" t="s">
        <v>234</v>
      </c>
      <c r="U53" t="s">
        <v>235</v>
      </c>
      <c r="V53" t="s">
        <v>234</v>
      </c>
      <c r="W53" t="s">
        <v>235</v>
      </c>
      <c r="X53" t="s">
        <v>234</v>
      </c>
      <c r="Y53" t="s">
        <v>235</v>
      </c>
      <c r="Z53" t="s">
        <v>235</v>
      </c>
      <c r="AA53" t="s">
        <v>234</v>
      </c>
      <c r="AB53">
        <f t="shared" si="0"/>
        <v>30</v>
      </c>
      <c r="AC53">
        <f>VLOOKUP(B53,'중1INTER(문법주관식)'!$B$2:$H$21,7,)</f>
        <v>17</v>
      </c>
      <c r="AD53">
        <f t="shared" si="1"/>
        <v>47</v>
      </c>
      <c r="AI53" s="28">
        <f t="shared" si="2"/>
        <v>0.6</v>
      </c>
      <c r="AJ53" s="28">
        <f t="shared" si="3"/>
        <v>0.85</v>
      </c>
    </row>
    <row r="54" spans="1:36" x14ac:dyDescent="0.45">
      <c r="A54" t="s">
        <v>43</v>
      </c>
      <c r="B54" t="s">
        <v>47</v>
      </c>
      <c r="C54" t="s">
        <v>234</v>
      </c>
      <c r="D54" t="s">
        <v>234</v>
      </c>
      <c r="E54" t="s">
        <v>235</v>
      </c>
      <c r="F54" t="s">
        <v>235</v>
      </c>
      <c r="G54" t="s">
        <v>235</v>
      </c>
      <c r="H54" t="s">
        <v>235</v>
      </c>
      <c r="I54" t="s">
        <v>235</v>
      </c>
      <c r="J54" t="s">
        <v>235</v>
      </c>
      <c r="K54" t="s">
        <v>234</v>
      </c>
      <c r="L54" t="s">
        <v>235</v>
      </c>
      <c r="M54" t="s">
        <v>235</v>
      </c>
      <c r="N54" t="s">
        <v>234</v>
      </c>
      <c r="O54" t="s">
        <v>235</v>
      </c>
      <c r="P54" t="s">
        <v>234</v>
      </c>
      <c r="Q54" t="s">
        <v>235</v>
      </c>
      <c r="R54" t="s">
        <v>234</v>
      </c>
      <c r="S54" t="s">
        <v>234</v>
      </c>
      <c r="T54" t="s">
        <v>235</v>
      </c>
      <c r="U54" t="s">
        <v>235</v>
      </c>
      <c r="V54" t="s">
        <v>234</v>
      </c>
      <c r="W54" t="s">
        <v>235</v>
      </c>
      <c r="X54" t="s">
        <v>234</v>
      </c>
      <c r="Y54" t="s">
        <v>234</v>
      </c>
      <c r="Z54" t="s">
        <v>235</v>
      </c>
      <c r="AA54" t="s">
        <v>234</v>
      </c>
      <c r="AB54">
        <f t="shared" si="0"/>
        <v>28</v>
      </c>
      <c r="AC54">
        <f>VLOOKUP(B54,'중1INTER(문법주관식)'!$B$2:$H$21,7,)</f>
        <v>18</v>
      </c>
      <c r="AD54">
        <f t="shared" si="1"/>
        <v>46</v>
      </c>
      <c r="AI54" s="28">
        <f t="shared" si="2"/>
        <v>0.56000000000000005</v>
      </c>
      <c r="AJ54" s="28">
        <f t="shared" si="3"/>
        <v>0.9</v>
      </c>
    </row>
    <row r="55" spans="1:36" x14ac:dyDescent="0.45">
      <c r="A55" t="s">
        <v>43</v>
      </c>
      <c r="B55" t="s">
        <v>48</v>
      </c>
      <c r="C55" t="s">
        <v>234</v>
      </c>
      <c r="D55" t="s">
        <v>234</v>
      </c>
      <c r="E55" t="s">
        <v>235</v>
      </c>
      <c r="F55" t="s">
        <v>235</v>
      </c>
      <c r="G55" t="s">
        <v>235</v>
      </c>
      <c r="H55" t="s">
        <v>235</v>
      </c>
      <c r="I55" t="s">
        <v>235</v>
      </c>
      <c r="J55" t="s">
        <v>235</v>
      </c>
      <c r="K55" t="s">
        <v>234</v>
      </c>
      <c r="L55" t="s">
        <v>235</v>
      </c>
      <c r="M55" t="s">
        <v>235</v>
      </c>
      <c r="N55" t="s">
        <v>235</v>
      </c>
      <c r="O55" t="s">
        <v>234</v>
      </c>
      <c r="P55" t="s">
        <v>235</v>
      </c>
      <c r="Q55" t="s">
        <v>235</v>
      </c>
      <c r="R55" t="s">
        <v>235</v>
      </c>
      <c r="S55" t="s">
        <v>235</v>
      </c>
      <c r="T55" t="s">
        <v>234</v>
      </c>
      <c r="U55" t="s">
        <v>235</v>
      </c>
      <c r="V55" t="s">
        <v>234</v>
      </c>
      <c r="W55" t="s">
        <v>235</v>
      </c>
      <c r="X55" t="s">
        <v>234</v>
      </c>
      <c r="Y55" t="s">
        <v>234</v>
      </c>
      <c r="Z55" t="s">
        <v>235</v>
      </c>
      <c r="AA55" t="s">
        <v>235</v>
      </c>
      <c r="AB55">
        <f t="shared" si="0"/>
        <v>34</v>
      </c>
      <c r="AC55">
        <f>VLOOKUP(B55,'중1INTER(문법주관식)'!$B$2:$H$21,7,)</f>
        <v>18</v>
      </c>
      <c r="AD55">
        <f t="shared" si="1"/>
        <v>52</v>
      </c>
      <c r="AI55" s="28">
        <f t="shared" si="2"/>
        <v>0.68</v>
      </c>
      <c r="AJ55" s="28">
        <f t="shared" si="3"/>
        <v>0.9</v>
      </c>
    </row>
    <row r="56" spans="1:36" x14ac:dyDescent="0.45">
      <c r="A56" t="s">
        <v>43</v>
      </c>
      <c r="B56" t="s">
        <v>49</v>
      </c>
      <c r="C56" t="s">
        <v>234</v>
      </c>
      <c r="D56" t="s">
        <v>234</v>
      </c>
      <c r="E56" t="s">
        <v>235</v>
      </c>
      <c r="F56" t="s">
        <v>235</v>
      </c>
      <c r="G56" t="s">
        <v>235</v>
      </c>
      <c r="H56" t="s">
        <v>235</v>
      </c>
      <c r="I56" t="s">
        <v>235</v>
      </c>
      <c r="J56" t="s">
        <v>235</v>
      </c>
      <c r="K56" t="s">
        <v>235</v>
      </c>
      <c r="L56" t="s">
        <v>235</v>
      </c>
      <c r="M56" t="s">
        <v>235</v>
      </c>
      <c r="N56" t="s">
        <v>235</v>
      </c>
      <c r="O56" t="s">
        <v>235</v>
      </c>
      <c r="P56" t="s">
        <v>235</v>
      </c>
      <c r="Q56" t="s">
        <v>235</v>
      </c>
      <c r="R56" t="s">
        <v>235</v>
      </c>
      <c r="S56" t="s">
        <v>235</v>
      </c>
      <c r="T56" t="s">
        <v>235</v>
      </c>
      <c r="U56" t="s">
        <v>235</v>
      </c>
      <c r="V56" t="s">
        <v>234</v>
      </c>
      <c r="W56" t="s">
        <v>235</v>
      </c>
      <c r="X56" t="s">
        <v>234</v>
      </c>
      <c r="Y56" t="s">
        <v>234</v>
      </c>
      <c r="Z56" t="s">
        <v>235</v>
      </c>
      <c r="AA56" t="s">
        <v>234</v>
      </c>
      <c r="AB56">
        <f t="shared" si="0"/>
        <v>38</v>
      </c>
      <c r="AC56">
        <f>VLOOKUP(B56,'중1INTER(문법주관식)'!$B$2:$H$21,7,)</f>
        <v>18</v>
      </c>
      <c r="AD56">
        <f t="shared" si="1"/>
        <v>56</v>
      </c>
      <c r="AI56" s="28">
        <f t="shared" si="2"/>
        <v>0.76</v>
      </c>
      <c r="AJ56" s="28">
        <f t="shared" si="3"/>
        <v>0.9</v>
      </c>
    </row>
    <row r="57" spans="1:36" x14ac:dyDescent="0.45">
      <c r="A57" t="s">
        <v>43</v>
      </c>
      <c r="B57" t="s">
        <v>50</v>
      </c>
      <c r="C57" t="s">
        <v>235</v>
      </c>
      <c r="D57" t="s">
        <v>234</v>
      </c>
      <c r="E57" t="s">
        <v>234</v>
      </c>
      <c r="F57" t="s">
        <v>235</v>
      </c>
      <c r="G57" t="s">
        <v>235</v>
      </c>
      <c r="H57" t="s">
        <v>235</v>
      </c>
      <c r="I57" t="s">
        <v>235</v>
      </c>
      <c r="J57" t="s">
        <v>235</v>
      </c>
      <c r="K57" t="s">
        <v>234</v>
      </c>
      <c r="L57" t="s">
        <v>234</v>
      </c>
      <c r="M57" t="s">
        <v>235</v>
      </c>
      <c r="N57" t="s">
        <v>235</v>
      </c>
      <c r="O57" t="s">
        <v>234</v>
      </c>
      <c r="P57" t="s">
        <v>234</v>
      </c>
      <c r="Q57" t="s">
        <v>234</v>
      </c>
      <c r="R57" t="s">
        <v>234</v>
      </c>
      <c r="S57" t="s">
        <v>235</v>
      </c>
      <c r="T57" t="s">
        <v>235</v>
      </c>
      <c r="U57" t="s">
        <v>235</v>
      </c>
      <c r="V57" t="s">
        <v>234</v>
      </c>
      <c r="W57" t="s">
        <v>235</v>
      </c>
      <c r="X57" t="s">
        <v>234</v>
      </c>
      <c r="Y57" t="s">
        <v>234</v>
      </c>
      <c r="Z57" t="s">
        <v>235</v>
      </c>
      <c r="AA57" t="s">
        <v>235</v>
      </c>
      <c r="AB57">
        <f t="shared" si="0"/>
        <v>28</v>
      </c>
      <c r="AC57">
        <f>VLOOKUP(B57,'중1INTER(문법주관식)'!$B$2:$H$21,7,)</f>
        <v>14</v>
      </c>
      <c r="AD57">
        <f t="shared" si="1"/>
        <v>42</v>
      </c>
      <c r="AI57" s="28">
        <f t="shared" si="2"/>
        <v>0.56000000000000005</v>
      </c>
      <c r="AJ57" s="28">
        <f t="shared" si="3"/>
        <v>0.7</v>
      </c>
    </row>
    <row r="58" spans="1:36" x14ac:dyDescent="0.45">
      <c r="A58" t="s">
        <v>43</v>
      </c>
      <c r="B58" t="s">
        <v>51</v>
      </c>
      <c r="C58" t="s">
        <v>234</v>
      </c>
      <c r="D58" t="s">
        <v>234</v>
      </c>
      <c r="E58" t="s">
        <v>234</v>
      </c>
      <c r="F58" t="s">
        <v>235</v>
      </c>
      <c r="G58" t="s">
        <v>234</v>
      </c>
      <c r="H58" t="s">
        <v>235</v>
      </c>
      <c r="I58" t="s">
        <v>234</v>
      </c>
      <c r="J58" t="s">
        <v>234</v>
      </c>
      <c r="K58" t="s">
        <v>234</v>
      </c>
      <c r="L58" t="s">
        <v>235</v>
      </c>
      <c r="M58" t="s">
        <v>235</v>
      </c>
      <c r="N58" t="s">
        <v>234</v>
      </c>
      <c r="O58" t="s">
        <v>234</v>
      </c>
      <c r="P58" t="s">
        <v>235</v>
      </c>
      <c r="Q58" t="s">
        <v>235</v>
      </c>
      <c r="R58" t="s">
        <v>234</v>
      </c>
      <c r="S58" t="s">
        <v>235</v>
      </c>
      <c r="T58" t="s">
        <v>235</v>
      </c>
      <c r="U58" t="s">
        <v>235</v>
      </c>
      <c r="V58" t="s">
        <v>235</v>
      </c>
      <c r="W58" t="s">
        <v>235</v>
      </c>
      <c r="X58" t="s">
        <v>234</v>
      </c>
      <c r="Y58" t="s">
        <v>234</v>
      </c>
      <c r="Z58" t="s">
        <v>235</v>
      </c>
      <c r="AA58" t="s">
        <v>234</v>
      </c>
      <c r="AB58">
        <f t="shared" si="0"/>
        <v>24</v>
      </c>
      <c r="AC58">
        <f>VLOOKUP(B58,'중1INTER(문법주관식)'!$B$2:$H$21,7,)</f>
        <v>16</v>
      </c>
      <c r="AD58">
        <f t="shared" si="1"/>
        <v>40</v>
      </c>
      <c r="AI58" s="28">
        <f t="shared" si="2"/>
        <v>0.48</v>
      </c>
      <c r="AJ58" s="28">
        <f t="shared" si="3"/>
        <v>0.8</v>
      </c>
    </row>
    <row r="59" spans="1:36" x14ac:dyDescent="0.45">
      <c r="A59" t="s">
        <v>43</v>
      </c>
      <c r="B59" t="s">
        <v>52</v>
      </c>
      <c r="C59" t="s">
        <v>234</v>
      </c>
      <c r="D59" t="s">
        <v>234</v>
      </c>
      <c r="E59" t="s">
        <v>235</v>
      </c>
      <c r="F59" t="s">
        <v>235</v>
      </c>
      <c r="G59" t="s">
        <v>235</v>
      </c>
      <c r="H59" t="s">
        <v>235</v>
      </c>
      <c r="I59" t="s">
        <v>235</v>
      </c>
      <c r="J59" t="s">
        <v>235</v>
      </c>
      <c r="K59" t="s">
        <v>234</v>
      </c>
      <c r="L59" t="s">
        <v>235</v>
      </c>
      <c r="M59" t="s">
        <v>235</v>
      </c>
      <c r="N59" t="s">
        <v>235</v>
      </c>
      <c r="O59" t="s">
        <v>235</v>
      </c>
      <c r="P59" t="s">
        <v>235</v>
      </c>
      <c r="Q59" t="s">
        <v>235</v>
      </c>
      <c r="R59" t="s">
        <v>235</v>
      </c>
      <c r="S59" t="s">
        <v>234</v>
      </c>
      <c r="T59" t="s">
        <v>235</v>
      </c>
      <c r="U59" t="s">
        <v>235</v>
      </c>
      <c r="V59" t="s">
        <v>234</v>
      </c>
      <c r="W59" t="s">
        <v>235</v>
      </c>
      <c r="X59" t="s">
        <v>234</v>
      </c>
      <c r="Y59" t="s">
        <v>234</v>
      </c>
      <c r="Z59" t="s">
        <v>235</v>
      </c>
      <c r="AA59" t="s">
        <v>234</v>
      </c>
      <c r="AB59">
        <f t="shared" si="0"/>
        <v>34</v>
      </c>
      <c r="AC59">
        <f>VLOOKUP(B59,'중1INTER(문법주관식)'!$B$2:$H$21,7,)</f>
        <v>12</v>
      </c>
      <c r="AD59">
        <f t="shared" si="1"/>
        <v>46</v>
      </c>
      <c r="AI59" s="28">
        <f t="shared" si="2"/>
        <v>0.68</v>
      </c>
      <c r="AJ59" s="28">
        <f t="shared" si="3"/>
        <v>0.6</v>
      </c>
    </row>
    <row r="60" spans="1:36" x14ac:dyDescent="0.45">
      <c r="A60" t="s">
        <v>43</v>
      </c>
      <c r="B60" t="s">
        <v>53</v>
      </c>
      <c r="C60" t="s">
        <v>234</v>
      </c>
      <c r="D60" t="s">
        <v>234</v>
      </c>
      <c r="E60" t="s">
        <v>234</v>
      </c>
      <c r="F60" t="s">
        <v>234</v>
      </c>
      <c r="G60" t="s">
        <v>234</v>
      </c>
      <c r="H60" t="s">
        <v>235</v>
      </c>
      <c r="I60" t="s">
        <v>234</v>
      </c>
      <c r="J60" t="s">
        <v>235</v>
      </c>
      <c r="K60" t="s">
        <v>235</v>
      </c>
      <c r="L60" t="s">
        <v>234</v>
      </c>
      <c r="M60" t="s">
        <v>235</v>
      </c>
      <c r="N60" t="s">
        <v>235</v>
      </c>
      <c r="O60" t="s">
        <v>234</v>
      </c>
      <c r="P60" t="s">
        <v>234</v>
      </c>
      <c r="Q60" t="s">
        <v>234</v>
      </c>
      <c r="R60" t="s">
        <v>235</v>
      </c>
      <c r="S60" t="s">
        <v>235</v>
      </c>
      <c r="T60" t="s">
        <v>234</v>
      </c>
      <c r="U60" t="s">
        <v>234</v>
      </c>
      <c r="V60" t="s">
        <v>234</v>
      </c>
      <c r="W60" t="s">
        <v>234</v>
      </c>
      <c r="X60" t="s">
        <v>234</v>
      </c>
      <c r="Y60" t="s">
        <v>234</v>
      </c>
      <c r="Z60" t="s">
        <v>235</v>
      </c>
      <c r="AA60" t="s">
        <v>234</v>
      </c>
      <c r="AB60">
        <f t="shared" si="0"/>
        <v>16</v>
      </c>
      <c r="AC60">
        <f>VLOOKUP(B60,'중1INTER(문법주관식)'!$B$2:$H$21,7,)</f>
        <v>16</v>
      </c>
      <c r="AD60">
        <f t="shared" si="1"/>
        <v>32</v>
      </c>
      <c r="AI60" s="28">
        <f t="shared" si="2"/>
        <v>0.32</v>
      </c>
      <c r="AJ60" s="28">
        <f t="shared" si="3"/>
        <v>0.8</v>
      </c>
    </row>
    <row r="61" spans="1:36" x14ac:dyDescent="0.45">
      <c r="A61" t="s">
        <v>43</v>
      </c>
      <c r="B61" t="s">
        <v>54</v>
      </c>
      <c r="C61" t="s">
        <v>235</v>
      </c>
      <c r="D61" t="s">
        <v>234</v>
      </c>
      <c r="E61" t="s">
        <v>235</v>
      </c>
      <c r="F61" t="s">
        <v>234</v>
      </c>
      <c r="G61" t="s">
        <v>235</v>
      </c>
      <c r="H61" t="s">
        <v>235</v>
      </c>
      <c r="I61" t="s">
        <v>235</v>
      </c>
      <c r="J61" t="s">
        <v>235</v>
      </c>
      <c r="K61" t="s">
        <v>234</v>
      </c>
      <c r="L61" t="s">
        <v>235</v>
      </c>
      <c r="M61" t="s">
        <v>235</v>
      </c>
      <c r="N61" t="s">
        <v>235</v>
      </c>
      <c r="O61" t="s">
        <v>235</v>
      </c>
      <c r="P61" t="s">
        <v>235</v>
      </c>
      <c r="Q61" t="s">
        <v>235</v>
      </c>
      <c r="R61" t="s">
        <v>235</v>
      </c>
      <c r="S61" t="s">
        <v>235</v>
      </c>
      <c r="T61" t="s">
        <v>235</v>
      </c>
      <c r="U61" t="s">
        <v>235</v>
      </c>
      <c r="V61" t="s">
        <v>234</v>
      </c>
      <c r="W61" t="s">
        <v>234</v>
      </c>
      <c r="X61" t="s">
        <v>234</v>
      </c>
      <c r="Y61" t="s">
        <v>234</v>
      </c>
      <c r="Z61" t="s">
        <v>235</v>
      </c>
      <c r="AA61" t="s">
        <v>235</v>
      </c>
      <c r="AB61">
        <f t="shared" si="0"/>
        <v>36</v>
      </c>
      <c r="AC61">
        <f>VLOOKUP(B61,'중1INTER(문법주관식)'!$B$2:$H$21,7,)</f>
        <v>18</v>
      </c>
      <c r="AD61">
        <f t="shared" si="1"/>
        <v>54</v>
      </c>
      <c r="AI61" s="28">
        <f t="shared" si="2"/>
        <v>0.72</v>
      </c>
      <c r="AJ61" s="28">
        <f t="shared" si="3"/>
        <v>0.9</v>
      </c>
    </row>
    <row r="62" spans="1:36" x14ac:dyDescent="0.45">
      <c r="A62" t="s">
        <v>43</v>
      </c>
      <c r="B62" t="s">
        <v>55</v>
      </c>
      <c r="C62" t="s">
        <v>234</v>
      </c>
      <c r="D62" t="s">
        <v>234</v>
      </c>
      <c r="E62" t="s">
        <v>234</v>
      </c>
      <c r="F62" t="s">
        <v>234</v>
      </c>
      <c r="G62" t="s">
        <v>235</v>
      </c>
      <c r="H62" t="s">
        <v>235</v>
      </c>
      <c r="I62" t="s">
        <v>235</v>
      </c>
      <c r="J62" t="s">
        <v>234</v>
      </c>
      <c r="K62" t="s">
        <v>234</v>
      </c>
      <c r="L62" t="s">
        <v>235</v>
      </c>
      <c r="M62" t="s">
        <v>235</v>
      </c>
      <c r="N62" t="s">
        <v>234</v>
      </c>
      <c r="O62" t="s">
        <v>234</v>
      </c>
      <c r="P62" t="s">
        <v>234</v>
      </c>
      <c r="Q62" t="s">
        <v>234</v>
      </c>
      <c r="R62" t="s">
        <v>234</v>
      </c>
      <c r="S62" t="s">
        <v>235</v>
      </c>
      <c r="T62" t="s">
        <v>234</v>
      </c>
      <c r="U62" t="s">
        <v>235</v>
      </c>
      <c r="V62" t="s">
        <v>234</v>
      </c>
      <c r="W62" t="s">
        <v>235</v>
      </c>
      <c r="X62" t="s">
        <v>234</v>
      </c>
      <c r="Y62" t="s">
        <v>234</v>
      </c>
      <c r="Z62" t="s">
        <v>235</v>
      </c>
      <c r="AA62" t="s">
        <v>234</v>
      </c>
      <c r="AB62">
        <f t="shared" si="0"/>
        <v>18</v>
      </c>
      <c r="AC62">
        <f>VLOOKUP(B62,'중1INTER(문법주관식)'!$B$2:$H$21,7,)</f>
        <v>12</v>
      </c>
      <c r="AD62">
        <f t="shared" si="1"/>
        <v>30</v>
      </c>
      <c r="AI62" s="28">
        <f t="shared" si="2"/>
        <v>0.36</v>
      </c>
      <c r="AJ62" s="28">
        <f t="shared" si="3"/>
        <v>0.6</v>
      </c>
    </row>
    <row r="63" spans="1:36" x14ac:dyDescent="0.45">
      <c r="A63" t="s">
        <v>43</v>
      </c>
      <c r="B63" t="s">
        <v>56</v>
      </c>
      <c r="C63" t="s">
        <v>235</v>
      </c>
      <c r="D63" t="s">
        <v>234</v>
      </c>
      <c r="E63" t="s">
        <v>235</v>
      </c>
      <c r="F63" t="s">
        <v>235</v>
      </c>
      <c r="G63" t="s">
        <v>235</v>
      </c>
      <c r="H63" t="s">
        <v>235</v>
      </c>
      <c r="I63" t="s">
        <v>235</v>
      </c>
      <c r="J63" t="s">
        <v>235</v>
      </c>
      <c r="K63" t="s">
        <v>235</v>
      </c>
      <c r="L63" t="s">
        <v>235</v>
      </c>
      <c r="M63" t="s">
        <v>235</v>
      </c>
      <c r="N63" t="s">
        <v>235</v>
      </c>
      <c r="O63" t="s">
        <v>234</v>
      </c>
      <c r="P63" t="s">
        <v>235</v>
      </c>
      <c r="Q63" t="s">
        <v>235</v>
      </c>
      <c r="R63" t="s">
        <v>235</v>
      </c>
      <c r="S63" t="s">
        <v>235</v>
      </c>
      <c r="T63" t="s">
        <v>234</v>
      </c>
      <c r="U63" t="s">
        <v>235</v>
      </c>
      <c r="V63" t="s">
        <v>235</v>
      </c>
      <c r="W63" t="s">
        <v>235</v>
      </c>
      <c r="X63" t="s">
        <v>234</v>
      </c>
      <c r="Y63" t="s">
        <v>234</v>
      </c>
      <c r="Z63" t="s">
        <v>235</v>
      </c>
      <c r="AA63" t="s">
        <v>234</v>
      </c>
      <c r="AB63">
        <f t="shared" si="0"/>
        <v>38</v>
      </c>
      <c r="AC63">
        <f>VLOOKUP(B63,'중1INTER(문법주관식)'!$B$2:$H$21,7,)</f>
        <v>16</v>
      </c>
      <c r="AD63">
        <f t="shared" si="1"/>
        <v>54</v>
      </c>
      <c r="AI63" s="28">
        <f t="shared" si="2"/>
        <v>0.76</v>
      </c>
      <c r="AJ63" s="28">
        <f t="shared" si="3"/>
        <v>0.8</v>
      </c>
    </row>
    <row r="64" spans="1:36" x14ac:dyDescent="0.45">
      <c r="A64" t="s">
        <v>43</v>
      </c>
      <c r="B64" t="s">
        <v>57</v>
      </c>
      <c r="C64" t="s">
        <v>234</v>
      </c>
      <c r="D64" t="s">
        <v>234</v>
      </c>
      <c r="E64" t="s">
        <v>235</v>
      </c>
      <c r="F64" t="s">
        <v>234</v>
      </c>
      <c r="G64" t="s">
        <v>234</v>
      </c>
      <c r="H64" t="s">
        <v>235</v>
      </c>
      <c r="I64" t="s">
        <v>234</v>
      </c>
      <c r="J64" t="s">
        <v>234</v>
      </c>
      <c r="K64" t="s">
        <v>235</v>
      </c>
      <c r="L64" t="s">
        <v>235</v>
      </c>
      <c r="M64" t="s">
        <v>234</v>
      </c>
      <c r="N64" t="s">
        <v>235</v>
      </c>
      <c r="O64" t="s">
        <v>234</v>
      </c>
      <c r="P64" t="s">
        <v>234</v>
      </c>
      <c r="Q64" t="s">
        <v>234</v>
      </c>
      <c r="R64" t="s">
        <v>234</v>
      </c>
      <c r="S64" t="s">
        <v>235</v>
      </c>
      <c r="T64" t="s">
        <v>235</v>
      </c>
      <c r="U64" t="s">
        <v>235</v>
      </c>
      <c r="V64" t="s">
        <v>234</v>
      </c>
      <c r="W64" t="s">
        <v>234</v>
      </c>
      <c r="X64" t="s">
        <v>234</v>
      </c>
      <c r="Y64" t="s">
        <v>234</v>
      </c>
      <c r="Z64" t="s">
        <v>235</v>
      </c>
      <c r="AA64" t="s">
        <v>235</v>
      </c>
      <c r="AB64">
        <f t="shared" si="0"/>
        <v>20</v>
      </c>
      <c r="AC64">
        <f>VLOOKUP(B64,'중1INTER(문법주관식)'!$B$2:$H$21,7,)</f>
        <v>14</v>
      </c>
      <c r="AD64">
        <f t="shared" si="1"/>
        <v>34</v>
      </c>
      <c r="AI64" s="28">
        <f t="shared" si="2"/>
        <v>0.4</v>
      </c>
      <c r="AJ64" s="28">
        <f t="shared" si="3"/>
        <v>0.7</v>
      </c>
    </row>
    <row r="65" spans="1:36" x14ac:dyDescent="0.45">
      <c r="A65" t="s">
        <v>43</v>
      </c>
      <c r="B65" t="s">
        <v>58</v>
      </c>
      <c r="C65" t="s">
        <v>234</v>
      </c>
      <c r="D65" t="s">
        <v>234</v>
      </c>
      <c r="E65" t="s">
        <v>234</v>
      </c>
      <c r="F65" t="s">
        <v>234</v>
      </c>
      <c r="G65" t="s">
        <v>235</v>
      </c>
      <c r="H65" t="s">
        <v>235</v>
      </c>
      <c r="I65" t="s">
        <v>234</v>
      </c>
      <c r="J65" t="s">
        <v>235</v>
      </c>
      <c r="K65" t="s">
        <v>235</v>
      </c>
      <c r="L65" t="s">
        <v>234</v>
      </c>
      <c r="M65" t="s">
        <v>235</v>
      </c>
      <c r="N65" t="s">
        <v>235</v>
      </c>
      <c r="O65" t="s">
        <v>235</v>
      </c>
      <c r="P65" t="s">
        <v>235</v>
      </c>
      <c r="Q65" t="s">
        <v>234</v>
      </c>
      <c r="R65" t="s">
        <v>235</v>
      </c>
      <c r="S65" t="s">
        <v>235</v>
      </c>
      <c r="T65" t="s">
        <v>235</v>
      </c>
      <c r="U65" t="s">
        <v>235</v>
      </c>
      <c r="V65" t="s">
        <v>234</v>
      </c>
      <c r="W65" t="s">
        <v>234</v>
      </c>
      <c r="X65" t="s">
        <v>234</v>
      </c>
      <c r="Y65" t="s">
        <v>234</v>
      </c>
      <c r="Z65" t="s">
        <v>235</v>
      </c>
      <c r="AA65" t="s">
        <v>234</v>
      </c>
      <c r="AB65">
        <f t="shared" si="0"/>
        <v>26</v>
      </c>
      <c r="AC65">
        <f>VLOOKUP(B65,'중1INTER(문법주관식)'!$B$2:$H$21,7,)</f>
        <v>16</v>
      </c>
      <c r="AD65">
        <f t="shared" si="1"/>
        <v>42</v>
      </c>
      <c r="AI65" s="28">
        <f t="shared" si="2"/>
        <v>0.52</v>
      </c>
      <c r="AJ65" s="28">
        <f t="shared" si="3"/>
        <v>0.8</v>
      </c>
    </row>
    <row r="66" spans="1:36" x14ac:dyDescent="0.45">
      <c r="A66" t="s">
        <v>43</v>
      </c>
      <c r="B66" t="s">
        <v>59</v>
      </c>
      <c r="C66" t="s">
        <v>234</v>
      </c>
      <c r="D66" t="s">
        <v>234</v>
      </c>
      <c r="E66" t="s">
        <v>234</v>
      </c>
      <c r="F66" t="s">
        <v>234</v>
      </c>
      <c r="G66" t="s">
        <v>235</v>
      </c>
      <c r="H66" t="s">
        <v>235</v>
      </c>
      <c r="I66" t="s">
        <v>234</v>
      </c>
      <c r="J66" t="s">
        <v>234</v>
      </c>
      <c r="K66" t="s">
        <v>235</v>
      </c>
      <c r="L66" t="s">
        <v>235</v>
      </c>
      <c r="M66" t="s">
        <v>235</v>
      </c>
      <c r="N66" t="s">
        <v>235</v>
      </c>
      <c r="O66" t="s">
        <v>235</v>
      </c>
      <c r="P66" t="s">
        <v>234</v>
      </c>
      <c r="Q66" t="s">
        <v>235</v>
      </c>
      <c r="R66" t="s">
        <v>235</v>
      </c>
      <c r="S66" t="s">
        <v>235</v>
      </c>
      <c r="T66" t="s">
        <v>234</v>
      </c>
      <c r="U66" t="s">
        <v>235</v>
      </c>
      <c r="V66" t="s">
        <v>234</v>
      </c>
      <c r="W66" t="s">
        <v>235</v>
      </c>
      <c r="X66" t="s">
        <v>234</v>
      </c>
      <c r="Y66" t="s">
        <v>235</v>
      </c>
      <c r="Z66" t="s">
        <v>235</v>
      </c>
      <c r="AA66" t="s">
        <v>234</v>
      </c>
      <c r="AB66">
        <f t="shared" si="0"/>
        <v>28</v>
      </c>
      <c r="AC66">
        <f>VLOOKUP(B66,'중1INTER(문법주관식)'!$B$2:$H$21,7,)</f>
        <v>17</v>
      </c>
      <c r="AD66">
        <f t="shared" si="1"/>
        <v>45</v>
      </c>
      <c r="AI66" s="28">
        <f t="shared" si="2"/>
        <v>0.56000000000000005</v>
      </c>
      <c r="AJ66" s="28">
        <f t="shared" si="3"/>
        <v>0.85</v>
      </c>
    </row>
    <row r="67" spans="1:36" x14ac:dyDescent="0.45">
      <c r="A67" t="s">
        <v>43</v>
      </c>
      <c r="B67" t="s">
        <v>60</v>
      </c>
      <c r="C67" t="s">
        <v>234</v>
      </c>
      <c r="D67" t="s">
        <v>234</v>
      </c>
      <c r="E67" t="s">
        <v>234</v>
      </c>
      <c r="F67" t="s">
        <v>235</v>
      </c>
      <c r="G67" t="s">
        <v>234</v>
      </c>
      <c r="H67" t="s">
        <v>235</v>
      </c>
      <c r="I67" t="s">
        <v>235</v>
      </c>
      <c r="J67" t="s">
        <v>234</v>
      </c>
      <c r="K67" t="s">
        <v>234</v>
      </c>
      <c r="L67" t="s">
        <v>235</v>
      </c>
      <c r="M67" t="s">
        <v>235</v>
      </c>
      <c r="N67" t="s">
        <v>235</v>
      </c>
      <c r="O67" t="s">
        <v>235</v>
      </c>
      <c r="P67" t="s">
        <v>235</v>
      </c>
      <c r="Q67" t="s">
        <v>235</v>
      </c>
      <c r="R67" t="s">
        <v>235</v>
      </c>
      <c r="S67" t="s">
        <v>235</v>
      </c>
      <c r="T67" t="s">
        <v>235</v>
      </c>
      <c r="U67" t="s">
        <v>234</v>
      </c>
      <c r="V67" t="s">
        <v>234</v>
      </c>
      <c r="W67" t="s">
        <v>235</v>
      </c>
      <c r="X67" t="s">
        <v>234</v>
      </c>
      <c r="Y67" t="s">
        <v>234</v>
      </c>
      <c r="Z67" t="s">
        <v>235</v>
      </c>
      <c r="AA67" t="s">
        <v>234</v>
      </c>
      <c r="AB67">
        <f t="shared" si="0"/>
        <v>28</v>
      </c>
      <c r="AC67">
        <f>VLOOKUP(B67,'중1INTER(문법주관식)'!$B$2:$H$21,7,)</f>
        <v>18</v>
      </c>
      <c r="AD67">
        <f t="shared" si="1"/>
        <v>46</v>
      </c>
      <c r="AI67" s="28">
        <f t="shared" si="2"/>
        <v>0.56000000000000005</v>
      </c>
      <c r="AJ67" s="28">
        <f t="shared" si="3"/>
        <v>0.9</v>
      </c>
    </row>
    <row r="68" spans="1:36" x14ac:dyDescent="0.45">
      <c r="A68" t="s">
        <v>43</v>
      </c>
      <c r="B68" t="s">
        <v>61</v>
      </c>
      <c r="C68" t="s">
        <v>234</v>
      </c>
      <c r="D68" t="s">
        <v>234</v>
      </c>
      <c r="E68" t="s">
        <v>234</v>
      </c>
      <c r="F68" t="s">
        <v>234</v>
      </c>
      <c r="G68" t="s">
        <v>234</v>
      </c>
      <c r="H68" t="s">
        <v>235</v>
      </c>
      <c r="I68" t="s">
        <v>235</v>
      </c>
      <c r="J68" t="s">
        <v>234</v>
      </c>
      <c r="K68" t="s">
        <v>234</v>
      </c>
      <c r="L68" t="s">
        <v>235</v>
      </c>
      <c r="M68" t="s">
        <v>235</v>
      </c>
      <c r="N68" t="s">
        <v>235</v>
      </c>
      <c r="O68" t="s">
        <v>234</v>
      </c>
      <c r="P68" t="s">
        <v>235</v>
      </c>
      <c r="Q68" t="s">
        <v>234</v>
      </c>
      <c r="R68" t="s">
        <v>234</v>
      </c>
      <c r="S68" t="s">
        <v>235</v>
      </c>
      <c r="T68" t="s">
        <v>235</v>
      </c>
      <c r="U68" t="s">
        <v>234</v>
      </c>
      <c r="V68" t="s">
        <v>234</v>
      </c>
      <c r="W68" t="s">
        <v>234</v>
      </c>
      <c r="X68" t="s">
        <v>234</v>
      </c>
      <c r="Y68" t="s">
        <v>234</v>
      </c>
      <c r="Z68" t="s">
        <v>235</v>
      </c>
      <c r="AA68" t="s">
        <v>234</v>
      </c>
      <c r="AB68">
        <f t="shared" ref="AB68:AB111" si="4">(COUNTIF(C68:AA68,"O")*2)</f>
        <v>18</v>
      </c>
      <c r="AC68">
        <f>VLOOKUP(B68,'중1INTER(문법주관식)'!$B$2:$H$21,7,)</f>
        <v>14</v>
      </c>
      <c r="AD68">
        <f t="shared" ref="AD68:AD111" si="5">SUM(AB68:AC68)</f>
        <v>32</v>
      </c>
      <c r="AI68" s="28">
        <f t="shared" ref="AI68:AI111" si="6">(AB68/50)</f>
        <v>0.36</v>
      </c>
      <c r="AJ68" s="28">
        <f t="shared" ref="AJ68:AJ111" si="7">(AC68/20)</f>
        <v>0.7</v>
      </c>
    </row>
    <row r="69" spans="1:36" x14ac:dyDescent="0.45">
      <c r="A69" t="s">
        <v>43</v>
      </c>
      <c r="B69" t="s">
        <v>62</v>
      </c>
      <c r="C69" t="s">
        <v>234</v>
      </c>
      <c r="D69" t="s">
        <v>234</v>
      </c>
      <c r="E69" t="s">
        <v>234</v>
      </c>
      <c r="F69" t="s">
        <v>235</v>
      </c>
      <c r="G69" t="s">
        <v>235</v>
      </c>
      <c r="H69" t="s">
        <v>235</v>
      </c>
      <c r="I69" t="s">
        <v>235</v>
      </c>
      <c r="J69" t="s">
        <v>234</v>
      </c>
      <c r="K69" t="s">
        <v>235</v>
      </c>
      <c r="L69" t="s">
        <v>235</v>
      </c>
      <c r="M69" t="s">
        <v>234</v>
      </c>
      <c r="N69" t="s">
        <v>235</v>
      </c>
      <c r="O69" t="s">
        <v>234</v>
      </c>
      <c r="P69" t="s">
        <v>235</v>
      </c>
      <c r="Q69" t="s">
        <v>234</v>
      </c>
      <c r="R69" t="s">
        <v>235</v>
      </c>
      <c r="S69" t="s">
        <v>235</v>
      </c>
      <c r="T69" t="s">
        <v>234</v>
      </c>
      <c r="U69" t="s">
        <v>235</v>
      </c>
      <c r="V69" t="s">
        <v>234</v>
      </c>
      <c r="W69" t="s">
        <v>235</v>
      </c>
      <c r="X69" t="s">
        <v>234</v>
      </c>
      <c r="Y69" t="s">
        <v>234</v>
      </c>
      <c r="Z69" t="s">
        <v>235</v>
      </c>
      <c r="AA69" t="s">
        <v>234</v>
      </c>
      <c r="AB69">
        <f t="shared" si="4"/>
        <v>26</v>
      </c>
      <c r="AC69">
        <f>VLOOKUP(B69,'중1INTER(문법주관식)'!$B$2:$H$21,7,)</f>
        <v>18</v>
      </c>
      <c r="AD69">
        <f t="shared" si="5"/>
        <v>44</v>
      </c>
      <c r="AI69" s="28">
        <f t="shared" si="6"/>
        <v>0.52</v>
      </c>
      <c r="AJ69" s="28">
        <f t="shared" si="7"/>
        <v>0.9</v>
      </c>
    </row>
    <row r="70" spans="1:36" x14ac:dyDescent="0.45">
      <c r="A70" t="s">
        <v>43</v>
      </c>
      <c r="B70" t="s">
        <v>63</v>
      </c>
      <c r="C70" t="s">
        <v>235</v>
      </c>
      <c r="D70" t="s">
        <v>234</v>
      </c>
      <c r="E70" t="s">
        <v>234</v>
      </c>
      <c r="F70" t="s">
        <v>234</v>
      </c>
      <c r="G70" t="s">
        <v>235</v>
      </c>
      <c r="H70" t="s">
        <v>235</v>
      </c>
      <c r="I70" t="s">
        <v>235</v>
      </c>
      <c r="J70" t="s">
        <v>234</v>
      </c>
      <c r="K70" t="s">
        <v>235</v>
      </c>
      <c r="L70" t="s">
        <v>235</v>
      </c>
      <c r="M70" t="s">
        <v>235</v>
      </c>
      <c r="N70" t="s">
        <v>235</v>
      </c>
      <c r="O70" t="s">
        <v>235</v>
      </c>
      <c r="P70" t="s">
        <v>234</v>
      </c>
      <c r="Q70" t="s">
        <v>234</v>
      </c>
      <c r="R70" t="s">
        <v>234</v>
      </c>
      <c r="S70" t="s">
        <v>235</v>
      </c>
      <c r="T70" t="s">
        <v>235</v>
      </c>
      <c r="U70" t="s">
        <v>235</v>
      </c>
      <c r="V70" t="s">
        <v>235</v>
      </c>
      <c r="W70" t="s">
        <v>235</v>
      </c>
      <c r="X70" t="s">
        <v>234</v>
      </c>
      <c r="Y70" t="s">
        <v>234</v>
      </c>
      <c r="Z70" t="s">
        <v>234</v>
      </c>
      <c r="AA70" t="s">
        <v>234</v>
      </c>
      <c r="AB70">
        <f t="shared" si="4"/>
        <v>28</v>
      </c>
      <c r="AC70">
        <f>VLOOKUP(B70,'중1INTER(문법주관식)'!$B$2:$H$21,7,)</f>
        <v>15</v>
      </c>
      <c r="AD70">
        <f t="shared" si="5"/>
        <v>43</v>
      </c>
      <c r="AE70" s="27">
        <f>AVERAGE(AD47:AD70)</f>
        <v>41.625</v>
      </c>
      <c r="AI70" s="28">
        <f t="shared" si="6"/>
        <v>0.56000000000000005</v>
      </c>
      <c r="AJ70" s="28">
        <f t="shared" si="7"/>
        <v>0.75</v>
      </c>
    </row>
    <row r="71" spans="1:36" x14ac:dyDescent="0.45">
      <c r="AI71" s="28"/>
      <c r="AJ71" s="28"/>
    </row>
    <row r="72" spans="1:36" x14ac:dyDescent="0.45">
      <c r="AI72" s="28"/>
      <c r="AJ72" s="28"/>
    </row>
    <row r="73" spans="1:36" x14ac:dyDescent="0.45">
      <c r="A73" t="s">
        <v>164</v>
      </c>
      <c r="B73" t="s">
        <v>180</v>
      </c>
      <c r="C73" t="s">
        <v>235</v>
      </c>
      <c r="D73" t="s">
        <v>234</v>
      </c>
      <c r="E73" t="s">
        <v>234</v>
      </c>
      <c r="F73" t="s">
        <v>235</v>
      </c>
      <c r="G73" t="s">
        <v>235</v>
      </c>
      <c r="H73" t="s">
        <v>235</v>
      </c>
      <c r="I73" t="s">
        <v>235</v>
      </c>
      <c r="J73" t="s">
        <v>234</v>
      </c>
      <c r="K73" t="s">
        <v>235</v>
      </c>
      <c r="L73" t="s">
        <v>235</v>
      </c>
      <c r="M73" t="s">
        <v>235</v>
      </c>
      <c r="N73" t="s">
        <v>235</v>
      </c>
      <c r="O73" t="s">
        <v>234</v>
      </c>
      <c r="P73" t="s">
        <v>234</v>
      </c>
      <c r="Q73" t="s">
        <v>234</v>
      </c>
      <c r="R73" t="s">
        <v>235</v>
      </c>
      <c r="S73" t="s">
        <v>235</v>
      </c>
      <c r="T73" t="s">
        <v>235</v>
      </c>
      <c r="U73" t="s">
        <v>235</v>
      </c>
      <c r="V73" t="s">
        <v>234</v>
      </c>
      <c r="W73" t="s">
        <v>235</v>
      </c>
      <c r="X73" t="s">
        <v>234</v>
      </c>
      <c r="Y73" t="s">
        <v>234</v>
      </c>
      <c r="Z73" t="s">
        <v>234</v>
      </c>
      <c r="AA73" t="s">
        <v>235</v>
      </c>
      <c r="AB73">
        <f t="shared" si="4"/>
        <v>30</v>
      </c>
      <c r="AC73" t="s">
        <v>238</v>
      </c>
      <c r="AD73">
        <f t="shared" si="5"/>
        <v>30</v>
      </c>
      <c r="AI73" s="28">
        <f t="shared" si="6"/>
        <v>0.6</v>
      </c>
      <c r="AJ73" s="28" t="e">
        <f t="shared" si="7"/>
        <v>#VALUE!</v>
      </c>
    </row>
    <row r="74" spans="1:36" x14ac:dyDescent="0.45">
      <c r="A74" t="s">
        <v>164</v>
      </c>
      <c r="B74" t="s">
        <v>73</v>
      </c>
      <c r="C74" t="s">
        <v>235</v>
      </c>
      <c r="D74" t="s">
        <v>235</v>
      </c>
      <c r="E74" t="s">
        <v>235</v>
      </c>
      <c r="F74" t="s">
        <v>235</v>
      </c>
      <c r="G74" t="s">
        <v>235</v>
      </c>
      <c r="H74" t="s">
        <v>235</v>
      </c>
      <c r="I74" t="s">
        <v>234</v>
      </c>
      <c r="J74" t="s">
        <v>234</v>
      </c>
      <c r="K74" t="s">
        <v>235</v>
      </c>
      <c r="L74" t="s">
        <v>235</v>
      </c>
      <c r="M74" t="s">
        <v>235</v>
      </c>
      <c r="N74" t="s">
        <v>235</v>
      </c>
      <c r="O74" t="s">
        <v>234</v>
      </c>
      <c r="P74" t="s">
        <v>234</v>
      </c>
      <c r="Q74" t="s">
        <v>235</v>
      </c>
      <c r="R74" t="s">
        <v>235</v>
      </c>
      <c r="S74" t="s">
        <v>235</v>
      </c>
      <c r="T74" t="s">
        <v>235</v>
      </c>
      <c r="U74" t="s">
        <v>235</v>
      </c>
      <c r="V74" t="s">
        <v>234</v>
      </c>
      <c r="W74" t="s">
        <v>235</v>
      </c>
      <c r="X74" t="s">
        <v>234</v>
      </c>
      <c r="Y74" t="s">
        <v>234</v>
      </c>
      <c r="Z74" t="s">
        <v>235</v>
      </c>
      <c r="AA74" t="s">
        <v>235</v>
      </c>
      <c r="AB74">
        <f t="shared" si="4"/>
        <v>36</v>
      </c>
      <c r="AC74">
        <f>VLOOKUP(B74,'중1AD(문법주관식)'!$B$2:$H$29,7,)</f>
        <v>14</v>
      </c>
      <c r="AD74">
        <f t="shared" si="5"/>
        <v>50</v>
      </c>
      <c r="AI74" s="28">
        <f t="shared" si="6"/>
        <v>0.72</v>
      </c>
      <c r="AJ74" s="28">
        <f t="shared" si="7"/>
        <v>0.7</v>
      </c>
    </row>
    <row r="75" spans="1:36" x14ac:dyDescent="0.45">
      <c r="A75" t="s">
        <v>164</v>
      </c>
      <c r="B75" t="s">
        <v>74</v>
      </c>
      <c r="C75" t="s">
        <v>235</v>
      </c>
      <c r="D75" t="s">
        <v>235</v>
      </c>
      <c r="E75" t="s">
        <v>235</v>
      </c>
      <c r="F75" t="s">
        <v>235</v>
      </c>
      <c r="G75" t="s">
        <v>235</v>
      </c>
      <c r="H75" t="s">
        <v>235</v>
      </c>
      <c r="I75" t="s">
        <v>235</v>
      </c>
      <c r="J75" t="s">
        <v>235</v>
      </c>
      <c r="K75" t="s">
        <v>235</v>
      </c>
      <c r="L75" t="s">
        <v>235</v>
      </c>
      <c r="M75" t="s">
        <v>235</v>
      </c>
      <c r="N75" t="s">
        <v>235</v>
      </c>
      <c r="O75" t="s">
        <v>234</v>
      </c>
      <c r="P75" t="s">
        <v>235</v>
      </c>
      <c r="Q75" t="s">
        <v>235</v>
      </c>
      <c r="R75" t="s">
        <v>235</v>
      </c>
      <c r="S75" t="s">
        <v>235</v>
      </c>
      <c r="T75" t="s">
        <v>234</v>
      </c>
      <c r="U75" t="s">
        <v>235</v>
      </c>
      <c r="V75" t="s">
        <v>235</v>
      </c>
      <c r="W75" t="s">
        <v>235</v>
      </c>
      <c r="X75" t="s">
        <v>234</v>
      </c>
      <c r="Y75" t="s">
        <v>235</v>
      </c>
      <c r="Z75" t="s">
        <v>235</v>
      </c>
      <c r="AA75" t="s">
        <v>235</v>
      </c>
      <c r="AB75">
        <f t="shared" si="4"/>
        <v>44</v>
      </c>
      <c r="AC75">
        <f>VLOOKUP(B75,'중1AD(문법주관식)'!$B$2:$H$29,7,)</f>
        <v>20</v>
      </c>
      <c r="AD75">
        <f t="shared" si="5"/>
        <v>64</v>
      </c>
      <c r="AI75" s="28">
        <f t="shared" si="6"/>
        <v>0.88</v>
      </c>
      <c r="AJ75" s="28">
        <f t="shared" si="7"/>
        <v>1</v>
      </c>
    </row>
    <row r="76" spans="1:36" x14ac:dyDescent="0.45">
      <c r="A76" t="s">
        <v>164</v>
      </c>
      <c r="B76" t="s">
        <v>75</v>
      </c>
      <c r="C76" t="s">
        <v>235</v>
      </c>
      <c r="D76" t="s">
        <v>234</v>
      </c>
      <c r="E76" t="s">
        <v>234</v>
      </c>
      <c r="F76" t="s">
        <v>235</v>
      </c>
      <c r="G76" t="s">
        <v>235</v>
      </c>
      <c r="H76" t="s">
        <v>235</v>
      </c>
      <c r="I76" t="s">
        <v>235</v>
      </c>
      <c r="J76" t="s">
        <v>235</v>
      </c>
      <c r="K76" t="s">
        <v>235</v>
      </c>
      <c r="L76" t="s">
        <v>235</v>
      </c>
      <c r="M76" t="s">
        <v>235</v>
      </c>
      <c r="N76" t="s">
        <v>235</v>
      </c>
      <c r="O76" t="s">
        <v>235</v>
      </c>
      <c r="P76" t="s">
        <v>235</v>
      </c>
      <c r="Q76" t="s">
        <v>235</v>
      </c>
      <c r="R76" t="s">
        <v>235</v>
      </c>
      <c r="S76" t="s">
        <v>235</v>
      </c>
      <c r="T76" t="s">
        <v>235</v>
      </c>
      <c r="U76" t="s">
        <v>235</v>
      </c>
      <c r="V76" t="s">
        <v>234</v>
      </c>
      <c r="W76" t="s">
        <v>235</v>
      </c>
      <c r="X76" t="s">
        <v>234</v>
      </c>
      <c r="Y76" t="s">
        <v>235</v>
      </c>
      <c r="Z76" t="s">
        <v>235</v>
      </c>
      <c r="AA76" t="s">
        <v>235</v>
      </c>
      <c r="AB76">
        <f t="shared" si="4"/>
        <v>42</v>
      </c>
      <c r="AC76">
        <f>VLOOKUP(B76,'중1AD(문법주관식)'!$B$2:$H$29,7,)</f>
        <v>16</v>
      </c>
      <c r="AD76">
        <f t="shared" si="5"/>
        <v>58</v>
      </c>
      <c r="AI76" s="28">
        <f t="shared" si="6"/>
        <v>0.84</v>
      </c>
      <c r="AJ76" s="28">
        <f t="shared" si="7"/>
        <v>0.8</v>
      </c>
    </row>
    <row r="77" spans="1:36" x14ac:dyDescent="0.45">
      <c r="A77" t="s">
        <v>164</v>
      </c>
      <c r="B77" t="s">
        <v>76</v>
      </c>
      <c r="C77" t="s">
        <v>235</v>
      </c>
      <c r="D77" t="s">
        <v>234</v>
      </c>
      <c r="E77" t="s">
        <v>234</v>
      </c>
      <c r="F77" t="s">
        <v>235</v>
      </c>
      <c r="G77" t="s">
        <v>235</v>
      </c>
      <c r="H77" t="s">
        <v>235</v>
      </c>
      <c r="I77" t="s">
        <v>235</v>
      </c>
      <c r="J77" t="s">
        <v>235</v>
      </c>
      <c r="K77" t="s">
        <v>235</v>
      </c>
      <c r="L77" t="s">
        <v>235</v>
      </c>
      <c r="M77" t="s">
        <v>234</v>
      </c>
      <c r="N77" t="s">
        <v>235</v>
      </c>
      <c r="O77" t="s">
        <v>235</v>
      </c>
      <c r="P77" t="s">
        <v>235</v>
      </c>
      <c r="Q77" t="s">
        <v>235</v>
      </c>
      <c r="R77" t="s">
        <v>234</v>
      </c>
      <c r="S77" t="s">
        <v>235</v>
      </c>
      <c r="T77" t="s">
        <v>235</v>
      </c>
      <c r="U77" t="s">
        <v>235</v>
      </c>
      <c r="V77" t="s">
        <v>235</v>
      </c>
      <c r="W77" t="s">
        <v>235</v>
      </c>
      <c r="X77" t="s">
        <v>234</v>
      </c>
      <c r="Y77" t="s">
        <v>234</v>
      </c>
      <c r="Z77" t="s">
        <v>235</v>
      </c>
      <c r="AA77" t="s">
        <v>234</v>
      </c>
      <c r="AB77">
        <f t="shared" si="4"/>
        <v>36</v>
      </c>
      <c r="AC77">
        <f>VLOOKUP(B77,'중1AD(문법주관식)'!$B$2:$H$29,7,)</f>
        <v>18</v>
      </c>
      <c r="AD77">
        <f t="shared" si="5"/>
        <v>54</v>
      </c>
      <c r="AI77" s="28">
        <f t="shared" si="6"/>
        <v>0.72</v>
      </c>
      <c r="AJ77" s="28">
        <f t="shared" si="7"/>
        <v>0.9</v>
      </c>
    </row>
    <row r="78" spans="1:36" x14ac:dyDescent="0.45">
      <c r="A78" t="s">
        <v>164</v>
      </c>
      <c r="B78" t="s">
        <v>77</v>
      </c>
      <c r="C78" t="s">
        <v>235</v>
      </c>
      <c r="D78" t="s">
        <v>235</v>
      </c>
      <c r="E78" t="s">
        <v>235</v>
      </c>
      <c r="F78" t="s">
        <v>235</v>
      </c>
      <c r="G78" t="s">
        <v>235</v>
      </c>
      <c r="H78" t="s">
        <v>235</v>
      </c>
      <c r="I78" t="s">
        <v>235</v>
      </c>
      <c r="J78" t="s">
        <v>235</v>
      </c>
      <c r="K78" t="s">
        <v>235</v>
      </c>
      <c r="L78" t="s">
        <v>235</v>
      </c>
      <c r="M78" t="s">
        <v>235</v>
      </c>
      <c r="N78" t="s">
        <v>235</v>
      </c>
      <c r="O78" t="s">
        <v>235</v>
      </c>
      <c r="P78" t="s">
        <v>235</v>
      </c>
      <c r="Q78" t="s">
        <v>235</v>
      </c>
      <c r="R78" t="s">
        <v>235</v>
      </c>
      <c r="S78" t="s">
        <v>235</v>
      </c>
      <c r="T78" t="s">
        <v>235</v>
      </c>
      <c r="U78" t="s">
        <v>235</v>
      </c>
      <c r="V78" t="s">
        <v>234</v>
      </c>
      <c r="W78" t="s">
        <v>235</v>
      </c>
      <c r="X78" t="s">
        <v>234</v>
      </c>
      <c r="Y78" t="s">
        <v>235</v>
      </c>
      <c r="Z78" t="s">
        <v>235</v>
      </c>
      <c r="AA78" t="s">
        <v>234</v>
      </c>
      <c r="AB78">
        <f t="shared" si="4"/>
        <v>44</v>
      </c>
      <c r="AC78">
        <f>VLOOKUP(B78,'중1AD(문법주관식)'!$B$2:$H$29,7,)</f>
        <v>16</v>
      </c>
      <c r="AD78">
        <f t="shared" si="5"/>
        <v>60</v>
      </c>
      <c r="AI78" s="28">
        <f t="shared" si="6"/>
        <v>0.88</v>
      </c>
      <c r="AJ78" s="28">
        <f t="shared" si="7"/>
        <v>0.8</v>
      </c>
    </row>
    <row r="79" spans="1:36" x14ac:dyDescent="0.45">
      <c r="A79" t="s">
        <v>164</v>
      </c>
      <c r="B79" t="s">
        <v>78</v>
      </c>
      <c r="C79" t="s">
        <v>234</v>
      </c>
      <c r="D79" t="s">
        <v>235</v>
      </c>
      <c r="E79" t="s">
        <v>235</v>
      </c>
      <c r="F79" t="s">
        <v>235</v>
      </c>
      <c r="G79" t="s">
        <v>235</v>
      </c>
      <c r="H79" t="s">
        <v>235</v>
      </c>
      <c r="I79" t="s">
        <v>235</v>
      </c>
      <c r="J79" t="s">
        <v>235</v>
      </c>
      <c r="K79" t="s">
        <v>234</v>
      </c>
      <c r="L79" t="s">
        <v>235</v>
      </c>
      <c r="M79" t="s">
        <v>235</v>
      </c>
      <c r="N79" t="s">
        <v>235</v>
      </c>
      <c r="O79" t="s">
        <v>234</v>
      </c>
      <c r="P79" t="s">
        <v>235</v>
      </c>
      <c r="Q79" t="s">
        <v>235</v>
      </c>
      <c r="R79" t="s">
        <v>235</v>
      </c>
      <c r="S79" t="s">
        <v>235</v>
      </c>
      <c r="T79" t="s">
        <v>234</v>
      </c>
      <c r="U79" t="s">
        <v>235</v>
      </c>
      <c r="V79" t="s">
        <v>235</v>
      </c>
      <c r="W79" t="s">
        <v>235</v>
      </c>
      <c r="X79" t="s">
        <v>234</v>
      </c>
      <c r="Y79" t="s">
        <v>234</v>
      </c>
      <c r="Z79" t="s">
        <v>235</v>
      </c>
      <c r="AA79" t="s">
        <v>235</v>
      </c>
      <c r="AB79">
        <f t="shared" si="4"/>
        <v>38</v>
      </c>
      <c r="AC79">
        <f>VLOOKUP(B79,'중1AD(문법주관식)'!$B$2:$H$29,7,)</f>
        <v>18</v>
      </c>
      <c r="AD79">
        <f t="shared" si="5"/>
        <v>56</v>
      </c>
      <c r="AI79" s="28">
        <f t="shared" si="6"/>
        <v>0.76</v>
      </c>
      <c r="AJ79" s="28">
        <f t="shared" si="7"/>
        <v>0.9</v>
      </c>
    </row>
    <row r="80" spans="1:36" x14ac:dyDescent="0.45">
      <c r="A80" t="s">
        <v>164</v>
      </c>
      <c r="B80" t="s">
        <v>79</v>
      </c>
      <c r="C80" t="s">
        <v>235</v>
      </c>
      <c r="D80" t="s">
        <v>234</v>
      </c>
      <c r="E80" t="s">
        <v>235</v>
      </c>
      <c r="F80" t="s">
        <v>235</v>
      </c>
      <c r="G80" t="s">
        <v>235</v>
      </c>
      <c r="H80" t="s">
        <v>235</v>
      </c>
      <c r="I80" t="s">
        <v>235</v>
      </c>
      <c r="J80" t="s">
        <v>235</v>
      </c>
      <c r="K80" t="s">
        <v>235</v>
      </c>
      <c r="L80" t="s">
        <v>235</v>
      </c>
      <c r="M80" t="s">
        <v>235</v>
      </c>
      <c r="N80" t="s">
        <v>235</v>
      </c>
      <c r="O80" t="s">
        <v>235</v>
      </c>
      <c r="P80" t="s">
        <v>235</v>
      </c>
      <c r="Q80" t="s">
        <v>235</v>
      </c>
      <c r="R80" t="s">
        <v>235</v>
      </c>
      <c r="S80" t="s">
        <v>235</v>
      </c>
      <c r="T80" t="s">
        <v>235</v>
      </c>
      <c r="U80" t="s">
        <v>235</v>
      </c>
      <c r="V80" t="s">
        <v>234</v>
      </c>
      <c r="W80" t="s">
        <v>235</v>
      </c>
      <c r="X80" t="s">
        <v>234</v>
      </c>
      <c r="Y80" t="s">
        <v>234</v>
      </c>
      <c r="Z80" t="s">
        <v>235</v>
      </c>
      <c r="AA80" t="s">
        <v>235</v>
      </c>
      <c r="AB80">
        <f t="shared" si="4"/>
        <v>42</v>
      </c>
      <c r="AC80">
        <f>VLOOKUP(B80,'중1AD(문법주관식)'!$B$2:$H$29,7,)</f>
        <v>20</v>
      </c>
      <c r="AD80">
        <f t="shared" si="5"/>
        <v>62</v>
      </c>
      <c r="AI80" s="28">
        <f t="shared" si="6"/>
        <v>0.84</v>
      </c>
      <c r="AJ80" s="28">
        <f t="shared" si="7"/>
        <v>1</v>
      </c>
    </row>
    <row r="81" spans="1:36" x14ac:dyDescent="0.45">
      <c r="A81" t="s">
        <v>164</v>
      </c>
      <c r="B81" t="s">
        <v>80</v>
      </c>
      <c r="C81" t="s">
        <v>235</v>
      </c>
      <c r="D81" t="s">
        <v>234</v>
      </c>
      <c r="E81" t="s">
        <v>234</v>
      </c>
      <c r="F81" t="s">
        <v>234</v>
      </c>
      <c r="G81" t="s">
        <v>235</v>
      </c>
      <c r="H81" t="s">
        <v>235</v>
      </c>
      <c r="I81" t="s">
        <v>235</v>
      </c>
      <c r="J81" t="s">
        <v>234</v>
      </c>
      <c r="K81" t="s">
        <v>235</v>
      </c>
      <c r="L81" t="s">
        <v>235</v>
      </c>
      <c r="M81" t="s">
        <v>235</v>
      </c>
      <c r="N81" t="s">
        <v>235</v>
      </c>
      <c r="O81" t="s">
        <v>235</v>
      </c>
      <c r="P81" t="s">
        <v>234</v>
      </c>
      <c r="Q81" t="s">
        <v>235</v>
      </c>
      <c r="R81" t="s">
        <v>235</v>
      </c>
      <c r="S81" t="s">
        <v>235</v>
      </c>
      <c r="T81" t="s">
        <v>235</v>
      </c>
      <c r="U81" t="s">
        <v>235</v>
      </c>
      <c r="V81" t="s">
        <v>235</v>
      </c>
      <c r="W81" t="s">
        <v>235</v>
      </c>
      <c r="X81" t="s">
        <v>234</v>
      </c>
      <c r="Y81" t="s">
        <v>234</v>
      </c>
      <c r="Z81" t="s">
        <v>235</v>
      </c>
      <c r="AA81" t="s">
        <v>235</v>
      </c>
      <c r="AB81">
        <f t="shared" si="4"/>
        <v>36</v>
      </c>
      <c r="AC81">
        <f>VLOOKUP(B81,'중1AD(문법주관식)'!$B$2:$H$29,7,)</f>
        <v>19</v>
      </c>
      <c r="AD81">
        <f t="shared" si="5"/>
        <v>55</v>
      </c>
      <c r="AI81" s="28">
        <f t="shared" si="6"/>
        <v>0.72</v>
      </c>
      <c r="AJ81" s="28">
        <f t="shared" si="7"/>
        <v>0.95</v>
      </c>
    </row>
    <row r="82" spans="1:36" x14ac:dyDescent="0.45">
      <c r="A82" t="s">
        <v>164</v>
      </c>
      <c r="B82" t="s">
        <v>81</v>
      </c>
      <c r="C82" t="s">
        <v>234</v>
      </c>
      <c r="D82" t="s">
        <v>234</v>
      </c>
      <c r="E82" t="s">
        <v>234</v>
      </c>
      <c r="F82" t="s">
        <v>234</v>
      </c>
      <c r="G82" t="s">
        <v>234</v>
      </c>
      <c r="H82" t="s">
        <v>235</v>
      </c>
      <c r="I82" t="s">
        <v>235</v>
      </c>
      <c r="J82" t="s">
        <v>234</v>
      </c>
      <c r="K82" t="s">
        <v>235</v>
      </c>
      <c r="L82" t="s">
        <v>235</v>
      </c>
      <c r="M82" t="s">
        <v>235</v>
      </c>
      <c r="N82" t="s">
        <v>235</v>
      </c>
      <c r="O82" t="s">
        <v>235</v>
      </c>
      <c r="P82" t="s">
        <v>235</v>
      </c>
      <c r="Q82" t="s">
        <v>234</v>
      </c>
      <c r="R82" t="s">
        <v>235</v>
      </c>
      <c r="S82" t="s">
        <v>235</v>
      </c>
      <c r="T82" t="s">
        <v>235</v>
      </c>
      <c r="U82" t="s">
        <v>235</v>
      </c>
      <c r="V82" t="s">
        <v>234</v>
      </c>
      <c r="W82" t="s">
        <v>234</v>
      </c>
      <c r="X82" t="s">
        <v>234</v>
      </c>
      <c r="Y82" t="s">
        <v>234</v>
      </c>
      <c r="Z82" t="s">
        <v>235</v>
      </c>
      <c r="AA82" t="s">
        <v>235</v>
      </c>
      <c r="AB82">
        <f t="shared" si="4"/>
        <v>28</v>
      </c>
      <c r="AC82">
        <f>VLOOKUP(B82,'중1AD(문법주관식)'!$B$2:$H$29,7,)</f>
        <v>19</v>
      </c>
      <c r="AD82">
        <f t="shared" si="5"/>
        <v>47</v>
      </c>
      <c r="AI82" s="28">
        <f t="shared" si="6"/>
        <v>0.56000000000000005</v>
      </c>
      <c r="AJ82" s="28">
        <f t="shared" si="7"/>
        <v>0.95</v>
      </c>
    </row>
    <row r="83" spans="1:36" x14ac:dyDescent="0.45">
      <c r="A83" t="s">
        <v>164</v>
      </c>
      <c r="B83" t="s">
        <v>82</v>
      </c>
      <c r="C83" t="s">
        <v>235</v>
      </c>
      <c r="D83" t="s">
        <v>234</v>
      </c>
      <c r="E83" t="s">
        <v>235</v>
      </c>
      <c r="F83" t="s">
        <v>234</v>
      </c>
      <c r="G83" t="s">
        <v>235</v>
      </c>
      <c r="H83" t="s">
        <v>235</v>
      </c>
      <c r="I83" t="s">
        <v>235</v>
      </c>
      <c r="J83" t="s">
        <v>235</v>
      </c>
      <c r="K83" t="s">
        <v>235</v>
      </c>
      <c r="L83" t="s">
        <v>235</v>
      </c>
      <c r="M83" t="s">
        <v>235</v>
      </c>
      <c r="N83" t="s">
        <v>235</v>
      </c>
      <c r="O83" t="s">
        <v>235</v>
      </c>
      <c r="P83" t="s">
        <v>235</v>
      </c>
      <c r="Q83" t="s">
        <v>235</v>
      </c>
      <c r="R83" t="s">
        <v>235</v>
      </c>
      <c r="S83" t="s">
        <v>235</v>
      </c>
      <c r="T83" t="s">
        <v>235</v>
      </c>
      <c r="U83" t="s">
        <v>235</v>
      </c>
      <c r="V83" t="s">
        <v>235</v>
      </c>
      <c r="W83" t="s">
        <v>235</v>
      </c>
      <c r="X83" t="s">
        <v>234</v>
      </c>
      <c r="Y83" t="s">
        <v>234</v>
      </c>
      <c r="Z83" t="s">
        <v>235</v>
      </c>
      <c r="AA83" t="s">
        <v>235</v>
      </c>
      <c r="AB83">
        <f t="shared" si="4"/>
        <v>42</v>
      </c>
      <c r="AC83">
        <f>VLOOKUP(B83,'중1AD(문법주관식)'!$B$2:$H$29,7,)</f>
        <v>20</v>
      </c>
      <c r="AD83">
        <f t="shared" si="5"/>
        <v>62</v>
      </c>
      <c r="AI83" s="28">
        <f t="shared" si="6"/>
        <v>0.84</v>
      </c>
      <c r="AJ83" s="28">
        <f t="shared" si="7"/>
        <v>1</v>
      </c>
    </row>
    <row r="84" spans="1:36" x14ac:dyDescent="0.45">
      <c r="A84" t="s">
        <v>164</v>
      </c>
      <c r="B84" t="s">
        <v>83</v>
      </c>
      <c r="C84" t="s">
        <v>235</v>
      </c>
      <c r="D84" t="s">
        <v>234</v>
      </c>
      <c r="E84" t="s">
        <v>234</v>
      </c>
      <c r="F84" t="s">
        <v>234</v>
      </c>
      <c r="G84" t="s">
        <v>235</v>
      </c>
      <c r="H84" t="s">
        <v>235</v>
      </c>
      <c r="I84" t="s">
        <v>235</v>
      </c>
      <c r="J84" t="s">
        <v>235</v>
      </c>
      <c r="K84" t="s">
        <v>234</v>
      </c>
      <c r="L84" t="s">
        <v>235</v>
      </c>
      <c r="M84" t="s">
        <v>235</v>
      </c>
      <c r="N84" t="s">
        <v>235</v>
      </c>
      <c r="O84" t="s">
        <v>235</v>
      </c>
      <c r="P84" t="s">
        <v>235</v>
      </c>
      <c r="Q84" t="s">
        <v>235</v>
      </c>
      <c r="R84" t="s">
        <v>235</v>
      </c>
      <c r="S84" t="s">
        <v>235</v>
      </c>
      <c r="T84" t="s">
        <v>235</v>
      </c>
      <c r="U84" t="s">
        <v>235</v>
      </c>
      <c r="V84" t="s">
        <v>235</v>
      </c>
      <c r="W84" t="s">
        <v>235</v>
      </c>
      <c r="X84" t="s">
        <v>234</v>
      </c>
      <c r="Y84" t="s">
        <v>234</v>
      </c>
      <c r="Z84" t="s">
        <v>235</v>
      </c>
      <c r="AA84" t="s">
        <v>235</v>
      </c>
      <c r="AB84">
        <f t="shared" si="4"/>
        <v>38</v>
      </c>
      <c r="AC84">
        <f>VLOOKUP(B84,'중1AD(문법주관식)'!$B$2:$H$29,7,)</f>
        <v>18</v>
      </c>
      <c r="AD84">
        <f t="shared" si="5"/>
        <v>56</v>
      </c>
      <c r="AI84" s="28">
        <f t="shared" si="6"/>
        <v>0.76</v>
      </c>
      <c r="AJ84" s="28">
        <f t="shared" si="7"/>
        <v>0.9</v>
      </c>
    </row>
    <row r="85" spans="1:36" x14ac:dyDescent="0.45">
      <c r="A85" t="s">
        <v>164</v>
      </c>
      <c r="B85" t="s">
        <v>84</v>
      </c>
      <c r="C85" t="s">
        <v>234</v>
      </c>
      <c r="D85" t="s">
        <v>234</v>
      </c>
      <c r="E85" t="s">
        <v>234</v>
      </c>
      <c r="F85" t="s">
        <v>235</v>
      </c>
      <c r="G85" t="s">
        <v>235</v>
      </c>
      <c r="H85" t="s">
        <v>235</v>
      </c>
      <c r="I85" t="s">
        <v>235</v>
      </c>
      <c r="J85" t="s">
        <v>235</v>
      </c>
      <c r="K85" t="s">
        <v>234</v>
      </c>
      <c r="L85" t="s">
        <v>234</v>
      </c>
      <c r="M85" t="s">
        <v>234</v>
      </c>
      <c r="N85" t="s">
        <v>235</v>
      </c>
      <c r="O85" t="s">
        <v>235</v>
      </c>
      <c r="P85" t="s">
        <v>235</v>
      </c>
      <c r="Q85" t="s">
        <v>235</v>
      </c>
      <c r="R85" t="s">
        <v>235</v>
      </c>
      <c r="S85" t="s">
        <v>235</v>
      </c>
      <c r="T85" t="s">
        <v>235</v>
      </c>
      <c r="U85" t="s">
        <v>235</v>
      </c>
      <c r="V85" t="s">
        <v>235</v>
      </c>
      <c r="W85" t="s">
        <v>235</v>
      </c>
      <c r="X85" t="s">
        <v>234</v>
      </c>
      <c r="Y85" t="s">
        <v>234</v>
      </c>
      <c r="Z85" t="s">
        <v>235</v>
      </c>
      <c r="AA85" t="s">
        <v>235</v>
      </c>
      <c r="AB85">
        <f t="shared" si="4"/>
        <v>34</v>
      </c>
      <c r="AC85">
        <f>VLOOKUP(B85,'중1AD(문법주관식)'!$B$2:$H$29,7,)</f>
        <v>19</v>
      </c>
      <c r="AD85">
        <f t="shared" si="5"/>
        <v>53</v>
      </c>
      <c r="AI85" s="28">
        <f t="shared" si="6"/>
        <v>0.68</v>
      </c>
      <c r="AJ85" s="28">
        <f t="shared" si="7"/>
        <v>0.95</v>
      </c>
    </row>
    <row r="86" spans="1:36" x14ac:dyDescent="0.45">
      <c r="A86" t="s">
        <v>164</v>
      </c>
      <c r="B86" t="s">
        <v>85</v>
      </c>
      <c r="C86" t="s">
        <v>235</v>
      </c>
      <c r="D86" t="s">
        <v>234</v>
      </c>
      <c r="E86" t="s">
        <v>235</v>
      </c>
      <c r="F86" t="s">
        <v>235</v>
      </c>
      <c r="G86" t="s">
        <v>235</v>
      </c>
      <c r="H86" t="s">
        <v>235</v>
      </c>
      <c r="I86" t="s">
        <v>235</v>
      </c>
      <c r="J86" t="s">
        <v>234</v>
      </c>
      <c r="K86" t="s">
        <v>235</v>
      </c>
      <c r="L86" t="s">
        <v>235</v>
      </c>
      <c r="M86" t="s">
        <v>235</v>
      </c>
      <c r="N86" t="s">
        <v>235</v>
      </c>
      <c r="O86" t="s">
        <v>235</v>
      </c>
      <c r="P86" t="s">
        <v>235</v>
      </c>
      <c r="Q86" t="s">
        <v>235</v>
      </c>
      <c r="R86" t="s">
        <v>235</v>
      </c>
      <c r="S86" t="s">
        <v>235</v>
      </c>
      <c r="T86" t="s">
        <v>235</v>
      </c>
      <c r="U86" t="s">
        <v>235</v>
      </c>
      <c r="V86" t="s">
        <v>235</v>
      </c>
      <c r="W86" t="s">
        <v>235</v>
      </c>
      <c r="X86" t="s">
        <v>234</v>
      </c>
      <c r="Y86" t="s">
        <v>234</v>
      </c>
      <c r="Z86" t="s">
        <v>235</v>
      </c>
      <c r="AA86" t="s">
        <v>235</v>
      </c>
      <c r="AB86">
        <f t="shared" si="4"/>
        <v>42</v>
      </c>
      <c r="AC86">
        <f>VLOOKUP(B86,'중1AD(문법주관식)'!$B$2:$H$29,7,)</f>
        <v>19</v>
      </c>
      <c r="AD86">
        <f t="shared" si="5"/>
        <v>61</v>
      </c>
      <c r="AI86" s="28">
        <f t="shared" si="6"/>
        <v>0.84</v>
      </c>
      <c r="AJ86" s="28">
        <f t="shared" si="7"/>
        <v>0.95</v>
      </c>
    </row>
    <row r="87" spans="1:36" x14ac:dyDescent="0.45">
      <c r="A87" t="s">
        <v>164</v>
      </c>
      <c r="B87" t="s">
        <v>86</v>
      </c>
      <c r="C87" t="s">
        <v>235</v>
      </c>
      <c r="D87" t="s">
        <v>234</v>
      </c>
      <c r="E87" t="s">
        <v>234</v>
      </c>
      <c r="F87" t="s">
        <v>235</v>
      </c>
      <c r="G87" t="s">
        <v>235</v>
      </c>
      <c r="H87" t="s">
        <v>235</v>
      </c>
      <c r="I87" t="s">
        <v>235</v>
      </c>
      <c r="J87" t="s">
        <v>234</v>
      </c>
      <c r="K87" t="s">
        <v>234</v>
      </c>
      <c r="L87" t="s">
        <v>235</v>
      </c>
      <c r="M87" t="s">
        <v>235</v>
      </c>
      <c r="N87" t="s">
        <v>235</v>
      </c>
      <c r="O87" t="s">
        <v>235</v>
      </c>
      <c r="P87" t="s">
        <v>235</v>
      </c>
      <c r="Q87" t="s">
        <v>235</v>
      </c>
      <c r="R87" t="s">
        <v>234</v>
      </c>
      <c r="S87" t="s">
        <v>235</v>
      </c>
      <c r="T87" t="s">
        <v>235</v>
      </c>
      <c r="U87" t="s">
        <v>235</v>
      </c>
      <c r="V87" t="s">
        <v>235</v>
      </c>
      <c r="W87" t="s">
        <v>235</v>
      </c>
      <c r="X87" t="s">
        <v>234</v>
      </c>
      <c r="Y87" t="s">
        <v>235</v>
      </c>
      <c r="Z87" t="s">
        <v>235</v>
      </c>
      <c r="AA87" t="s">
        <v>235</v>
      </c>
      <c r="AB87">
        <f t="shared" si="4"/>
        <v>38</v>
      </c>
      <c r="AC87">
        <f>VLOOKUP(B87,'중1AD(문법주관식)'!$B$2:$H$29,7,)</f>
        <v>18</v>
      </c>
      <c r="AD87">
        <f t="shared" si="5"/>
        <v>56</v>
      </c>
      <c r="AI87" s="28">
        <f t="shared" si="6"/>
        <v>0.76</v>
      </c>
      <c r="AJ87" s="28">
        <f t="shared" si="7"/>
        <v>0.9</v>
      </c>
    </row>
    <row r="88" spans="1:36" x14ac:dyDescent="0.45">
      <c r="A88" t="s">
        <v>164</v>
      </c>
      <c r="B88" t="s">
        <v>87</v>
      </c>
      <c r="C88" t="s">
        <v>235</v>
      </c>
      <c r="D88" t="s">
        <v>234</v>
      </c>
      <c r="E88" t="s">
        <v>234</v>
      </c>
      <c r="F88" t="s">
        <v>235</v>
      </c>
      <c r="G88" t="s">
        <v>235</v>
      </c>
      <c r="H88" t="s">
        <v>235</v>
      </c>
      <c r="I88" t="s">
        <v>235</v>
      </c>
      <c r="J88" t="s">
        <v>234</v>
      </c>
      <c r="K88" t="s">
        <v>234</v>
      </c>
      <c r="L88" t="s">
        <v>235</v>
      </c>
      <c r="M88" t="s">
        <v>235</v>
      </c>
      <c r="N88" t="s">
        <v>234</v>
      </c>
      <c r="O88" t="s">
        <v>235</v>
      </c>
      <c r="P88" t="s">
        <v>234</v>
      </c>
      <c r="Q88" t="s">
        <v>235</v>
      </c>
      <c r="R88" t="s">
        <v>234</v>
      </c>
      <c r="S88" t="s">
        <v>235</v>
      </c>
      <c r="T88" t="s">
        <v>235</v>
      </c>
      <c r="U88" t="s">
        <v>234</v>
      </c>
      <c r="V88" t="s">
        <v>235</v>
      </c>
      <c r="W88" t="s">
        <v>235</v>
      </c>
      <c r="X88" t="s">
        <v>235</v>
      </c>
      <c r="Y88" t="s">
        <v>235</v>
      </c>
      <c r="Z88" t="s">
        <v>235</v>
      </c>
      <c r="AA88" t="s">
        <v>235</v>
      </c>
      <c r="AB88">
        <f t="shared" si="4"/>
        <v>34</v>
      </c>
      <c r="AC88">
        <f>VLOOKUP(B88,'중1AD(문법주관식)'!$B$2:$H$29,7,)</f>
        <v>16</v>
      </c>
      <c r="AD88">
        <f t="shared" si="5"/>
        <v>50</v>
      </c>
      <c r="AI88" s="28">
        <f t="shared" si="6"/>
        <v>0.68</v>
      </c>
      <c r="AJ88" s="28">
        <f t="shared" si="7"/>
        <v>0.8</v>
      </c>
    </row>
    <row r="89" spans="1:36" x14ac:dyDescent="0.45">
      <c r="A89" t="s">
        <v>164</v>
      </c>
      <c r="B89" t="s">
        <v>88</v>
      </c>
      <c r="C89" t="s">
        <v>235</v>
      </c>
      <c r="D89" t="s">
        <v>234</v>
      </c>
      <c r="E89" t="s">
        <v>235</v>
      </c>
      <c r="F89" t="s">
        <v>234</v>
      </c>
      <c r="G89" t="s">
        <v>235</v>
      </c>
      <c r="H89" t="s">
        <v>235</v>
      </c>
      <c r="I89" t="s">
        <v>235</v>
      </c>
      <c r="J89" t="s">
        <v>235</v>
      </c>
      <c r="K89" t="s">
        <v>235</v>
      </c>
      <c r="L89" t="s">
        <v>235</v>
      </c>
      <c r="M89" t="s">
        <v>235</v>
      </c>
      <c r="N89" t="s">
        <v>235</v>
      </c>
      <c r="O89" t="s">
        <v>235</v>
      </c>
      <c r="P89" t="s">
        <v>234</v>
      </c>
      <c r="Q89" t="s">
        <v>234</v>
      </c>
      <c r="R89" t="s">
        <v>235</v>
      </c>
      <c r="S89" t="s">
        <v>235</v>
      </c>
      <c r="T89" t="s">
        <v>235</v>
      </c>
      <c r="U89" t="s">
        <v>235</v>
      </c>
      <c r="V89" t="s">
        <v>234</v>
      </c>
      <c r="W89" t="s">
        <v>234</v>
      </c>
      <c r="X89" t="s">
        <v>234</v>
      </c>
      <c r="Y89" t="s">
        <v>235</v>
      </c>
      <c r="Z89" t="s">
        <v>235</v>
      </c>
      <c r="AA89" t="s">
        <v>235</v>
      </c>
      <c r="AB89">
        <f t="shared" si="4"/>
        <v>36</v>
      </c>
      <c r="AC89">
        <f>VLOOKUP(B89,'중1AD(문법주관식)'!$B$2:$H$29,7,)</f>
        <v>15</v>
      </c>
      <c r="AD89">
        <f t="shared" si="5"/>
        <v>51</v>
      </c>
      <c r="AI89" s="28">
        <f t="shared" si="6"/>
        <v>0.72</v>
      </c>
      <c r="AJ89" s="28">
        <f t="shared" si="7"/>
        <v>0.75</v>
      </c>
    </row>
    <row r="90" spans="1:36" x14ac:dyDescent="0.45">
      <c r="A90" t="s">
        <v>164</v>
      </c>
      <c r="B90" t="s">
        <v>89</v>
      </c>
      <c r="C90" t="s">
        <v>234</v>
      </c>
      <c r="D90" t="s">
        <v>234</v>
      </c>
      <c r="E90" t="s">
        <v>235</v>
      </c>
      <c r="F90" t="s">
        <v>235</v>
      </c>
      <c r="G90" t="s">
        <v>235</v>
      </c>
      <c r="H90" t="s">
        <v>235</v>
      </c>
      <c r="I90" t="s">
        <v>235</v>
      </c>
      <c r="J90" t="s">
        <v>235</v>
      </c>
      <c r="K90" t="s">
        <v>235</v>
      </c>
      <c r="L90" t="s">
        <v>235</v>
      </c>
      <c r="M90" t="s">
        <v>235</v>
      </c>
      <c r="N90" t="s">
        <v>235</v>
      </c>
      <c r="O90" t="s">
        <v>235</v>
      </c>
      <c r="P90" t="s">
        <v>235</v>
      </c>
      <c r="Q90" t="s">
        <v>235</v>
      </c>
      <c r="R90" t="s">
        <v>235</v>
      </c>
      <c r="S90" t="s">
        <v>235</v>
      </c>
      <c r="T90" t="s">
        <v>235</v>
      </c>
      <c r="U90" t="s">
        <v>235</v>
      </c>
      <c r="V90" t="s">
        <v>234</v>
      </c>
      <c r="W90" t="s">
        <v>234</v>
      </c>
      <c r="X90" t="s">
        <v>234</v>
      </c>
      <c r="Y90" t="s">
        <v>234</v>
      </c>
      <c r="Z90" t="s">
        <v>235</v>
      </c>
      <c r="AA90" t="s">
        <v>235</v>
      </c>
      <c r="AB90">
        <f t="shared" si="4"/>
        <v>38</v>
      </c>
      <c r="AC90">
        <f>VLOOKUP(B90,'중1AD(문법주관식)'!$B$2:$H$29,7,)</f>
        <v>19</v>
      </c>
      <c r="AD90">
        <f t="shared" si="5"/>
        <v>57</v>
      </c>
      <c r="AI90" s="28">
        <f t="shared" si="6"/>
        <v>0.76</v>
      </c>
      <c r="AJ90" s="28">
        <f t="shared" si="7"/>
        <v>0.95</v>
      </c>
    </row>
    <row r="91" spans="1:36" x14ac:dyDescent="0.45">
      <c r="A91" t="s">
        <v>164</v>
      </c>
      <c r="B91" t="s">
        <v>90</v>
      </c>
      <c r="C91" t="s">
        <v>235</v>
      </c>
      <c r="D91" t="s">
        <v>234</v>
      </c>
      <c r="E91" t="s">
        <v>234</v>
      </c>
      <c r="F91" t="s">
        <v>234</v>
      </c>
      <c r="G91" t="s">
        <v>235</v>
      </c>
      <c r="H91" t="s">
        <v>235</v>
      </c>
      <c r="I91" t="s">
        <v>235</v>
      </c>
      <c r="J91" t="s">
        <v>234</v>
      </c>
      <c r="K91" t="s">
        <v>235</v>
      </c>
      <c r="L91" t="s">
        <v>235</v>
      </c>
      <c r="M91" t="s">
        <v>235</v>
      </c>
      <c r="N91" t="s">
        <v>235</v>
      </c>
      <c r="O91" t="s">
        <v>234</v>
      </c>
      <c r="P91" t="s">
        <v>234</v>
      </c>
      <c r="Q91" t="s">
        <v>235</v>
      </c>
      <c r="R91" t="s">
        <v>235</v>
      </c>
      <c r="S91" t="s">
        <v>235</v>
      </c>
      <c r="T91" t="s">
        <v>235</v>
      </c>
      <c r="U91" t="s">
        <v>234</v>
      </c>
      <c r="V91" t="s">
        <v>235</v>
      </c>
      <c r="W91" t="s">
        <v>235</v>
      </c>
      <c r="X91" t="s">
        <v>234</v>
      </c>
      <c r="Y91" t="s">
        <v>234</v>
      </c>
      <c r="Z91" t="s">
        <v>235</v>
      </c>
      <c r="AA91" t="s">
        <v>235</v>
      </c>
      <c r="AB91">
        <f t="shared" si="4"/>
        <v>32</v>
      </c>
      <c r="AC91">
        <f>VLOOKUP(B91,'중1AD(문법주관식)'!$B$2:$H$29,7,)</f>
        <v>18</v>
      </c>
      <c r="AD91">
        <f t="shared" si="5"/>
        <v>50</v>
      </c>
      <c r="AI91" s="28">
        <f t="shared" si="6"/>
        <v>0.64</v>
      </c>
      <c r="AJ91" s="28">
        <f t="shared" si="7"/>
        <v>0.9</v>
      </c>
    </row>
    <row r="92" spans="1:36" x14ac:dyDescent="0.45">
      <c r="A92" t="s">
        <v>164</v>
      </c>
      <c r="B92" t="s">
        <v>91</v>
      </c>
      <c r="C92" t="s">
        <v>235</v>
      </c>
      <c r="D92" t="s">
        <v>234</v>
      </c>
      <c r="E92" t="s">
        <v>234</v>
      </c>
      <c r="F92" t="s">
        <v>235</v>
      </c>
      <c r="G92" t="s">
        <v>235</v>
      </c>
      <c r="H92" t="s">
        <v>235</v>
      </c>
      <c r="I92" t="s">
        <v>235</v>
      </c>
      <c r="J92" t="s">
        <v>235</v>
      </c>
      <c r="K92" t="s">
        <v>235</v>
      </c>
      <c r="L92" t="s">
        <v>235</v>
      </c>
      <c r="M92" t="s">
        <v>235</v>
      </c>
      <c r="N92" t="s">
        <v>235</v>
      </c>
      <c r="O92" t="s">
        <v>235</v>
      </c>
      <c r="P92" t="s">
        <v>235</v>
      </c>
      <c r="Q92" t="s">
        <v>235</v>
      </c>
      <c r="R92" t="s">
        <v>235</v>
      </c>
      <c r="S92" t="s">
        <v>235</v>
      </c>
      <c r="T92" t="s">
        <v>235</v>
      </c>
      <c r="U92" t="s">
        <v>235</v>
      </c>
      <c r="V92" t="s">
        <v>235</v>
      </c>
      <c r="W92" t="s">
        <v>235</v>
      </c>
      <c r="X92" t="s">
        <v>234</v>
      </c>
      <c r="Y92" t="s">
        <v>234</v>
      </c>
      <c r="Z92" t="s">
        <v>235</v>
      </c>
      <c r="AA92" t="s">
        <v>235</v>
      </c>
      <c r="AB92">
        <f t="shared" si="4"/>
        <v>42</v>
      </c>
      <c r="AC92">
        <f>VLOOKUP(B92,'중1AD(문법주관식)'!$B$2:$H$29,7,)</f>
        <v>20</v>
      </c>
      <c r="AD92">
        <f t="shared" si="5"/>
        <v>62</v>
      </c>
      <c r="AI92" s="28">
        <f t="shared" si="6"/>
        <v>0.84</v>
      </c>
      <c r="AJ92" s="28">
        <f t="shared" si="7"/>
        <v>1</v>
      </c>
    </row>
    <row r="93" spans="1:36" x14ac:dyDescent="0.45">
      <c r="A93" t="s">
        <v>164</v>
      </c>
      <c r="B93" t="s">
        <v>92</v>
      </c>
      <c r="C93" t="s">
        <v>234</v>
      </c>
      <c r="D93" t="s">
        <v>235</v>
      </c>
      <c r="E93" t="s">
        <v>235</v>
      </c>
      <c r="F93" t="s">
        <v>235</v>
      </c>
      <c r="G93" t="s">
        <v>235</v>
      </c>
      <c r="H93" t="s">
        <v>235</v>
      </c>
      <c r="I93" t="s">
        <v>235</v>
      </c>
      <c r="J93" t="s">
        <v>235</v>
      </c>
      <c r="K93" t="s">
        <v>235</v>
      </c>
      <c r="L93" t="s">
        <v>235</v>
      </c>
      <c r="M93" t="s">
        <v>235</v>
      </c>
      <c r="N93" t="s">
        <v>235</v>
      </c>
      <c r="O93" t="s">
        <v>234</v>
      </c>
      <c r="P93" t="s">
        <v>234</v>
      </c>
      <c r="Q93" t="s">
        <v>235</v>
      </c>
      <c r="R93" t="s">
        <v>235</v>
      </c>
      <c r="S93" t="s">
        <v>235</v>
      </c>
      <c r="T93" t="s">
        <v>235</v>
      </c>
      <c r="U93" t="s">
        <v>235</v>
      </c>
      <c r="V93" t="s">
        <v>234</v>
      </c>
      <c r="W93" t="s">
        <v>235</v>
      </c>
      <c r="X93" t="s">
        <v>234</v>
      </c>
      <c r="Y93" t="s">
        <v>235</v>
      </c>
      <c r="Z93" t="s">
        <v>235</v>
      </c>
      <c r="AA93" t="s">
        <v>235</v>
      </c>
      <c r="AB93">
        <f t="shared" si="4"/>
        <v>40</v>
      </c>
      <c r="AC93">
        <f>VLOOKUP(B93,'중1AD(문법주관식)'!$B$2:$H$29,7,)</f>
        <v>17</v>
      </c>
      <c r="AD93">
        <f t="shared" si="5"/>
        <v>57</v>
      </c>
      <c r="AI93" s="28">
        <f t="shared" si="6"/>
        <v>0.8</v>
      </c>
      <c r="AJ93" s="28">
        <f t="shared" si="7"/>
        <v>0.85</v>
      </c>
    </row>
    <row r="94" spans="1:36" x14ac:dyDescent="0.45">
      <c r="A94" t="s">
        <v>164</v>
      </c>
      <c r="B94" t="s">
        <v>93</v>
      </c>
      <c r="C94" t="s">
        <v>235</v>
      </c>
      <c r="D94" t="s">
        <v>234</v>
      </c>
      <c r="E94" t="s">
        <v>234</v>
      </c>
      <c r="F94" t="s">
        <v>235</v>
      </c>
      <c r="G94" t="s">
        <v>234</v>
      </c>
      <c r="H94" t="s">
        <v>235</v>
      </c>
      <c r="I94" t="s">
        <v>235</v>
      </c>
      <c r="J94" t="s">
        <v>235</v>
      </c>
      <c r="K94" t="s">
        <v>235</v>
      </c>
      <c r="L94" t="s">
        <v>235</v>
      </c>
      <c r="M94" t="s">
        <v>235</v>
      </c>
      <c r="N94" t="s">
        <v>235</v>
      </c>
      <c r="O94" t="s">
        <v>235</v>
      </c>
      <c r="P94" t="s">
        <v>235</v>
      </c>
      <c r="Q94" t="s">
        <v>235</v>
      </c>
      <c r="R94" t="s">
        <v>234</v>
      </c>
      <c r="S94" t="s">
        <v>235</v>
      </c>
      <c r="T94" t="s">
        <v>235</v>
      </c>
      <c r="U94" t="s">
        <v>235</v>
      </c>
      <c r="V94" t="s">
        <v>234</v>
      </c>
      <c r="W94" t="s">
        <v>235</v>
      </c>
      <c r="X94" t="s">
        <v>234</v>
      </c>
      <c r="Y94" t="s">
        <v>234</v>
      </c>
      <c r="Z94" t="s">
        <v>235</v>
      </c>
      <c r="AA94" t="s">
        <v>235</v>
      </c>
      <c r="AB94">
        <f t="shared" si="4"/>
        <v>36</v>
      </c>
      <c r="AC94">
        <f>VLOOKUP(B94,'중1AD(문법주관식)'!$B$2:$H$29,7,)</f>
        <v>19</v>
      </c>
      <c r="AD94">
        <f t="shared" si="5"/>
        <v>55</v>
      </c>
      <c r="AI94" s="28">
        <f t="shared" si="6"/>
        <v>0.72</v>
      </c>
      <c r="AJ94" s="28">
        <f t="shared" si="7"/>
        <v>0.95</v>
      </c>
    </row>
    <row r="95" spans="1:36" x14ac:dyDescent="0.45">
      <c r="A95" t="s">
        <v>164</v>
      </c>
      <c r="B95" t="s">
        <v>94</v>
      </c>
      <c r="C95" t="s">
        <v>234</v>
      </c>
      <c r="D95" t="s">
        <v>234</v>
      </c>
      <c r="E95" t="s">
        <v>234</v>
      </c>
      <c r="F95" t="s">
        <v>234</v>
      </c>
      <c r="G95" t="s">
        <v>235</v>
      </c>
      <c r="H95" t="s">
        <v>235</v>
      </c>
      <c r="I95" t="s">
        <v>235</v>
      </c>
      <c r="J95" t="s">
        <v>235</v>
      </c>
      <c r="K95" t="s">
        <v>235</v>
      </c>
      <c r="L95" t="s">
        <v>235</v>
      </c>
      <c r="M95" t="s">
        <v>235</v>
      </c>
      <c r="N95" t="s">
        <v>235</v>
      </c>
      <c r="O95" t="s">
        <v>235</v>
      </c>
      <c r="P95" t="s">
        <v>234</v>
      </c>
      <c r="Q95" t="s">
        <v>235</v>
      </c>
      <c r="R95" t="s">
        <v>235</v>
      </c>
      <c r="S95" t="s">
        <v>235</v>
      </c>
      <c r="T95" t="s">
        <v>235</v>
      </c>
      <c r="U95" t="s">
        <v>235</v>
      </c>
      <c r="V95" t="s">
        <v>234</v>
      </c>
      <c r="W95" t="s">
        <v>235</v>
      </c>
      <c r="X95" t="s">
        <v>234</v>
      </c>
      <c r="Y95" t="s">
        <v>234</v>
      </c>
      <c r="Z95" t="s">
        <v>235</v>
      </c>
      <c r="AA95" t="s">
        <v>235</v>
      </c>
      <c r="AB95">
        <f t="shared" si="4"/>
        <v>34</v>
      </c>
      <c r="AC95">
        <f>VLOOKUP(B95,'중1AD(문법주관식)'!$B$2:$H$29,7,)</f>
        <v>19</v>
      </c>
      <c r="AD95">
        <f t="shared" si="5"/>
        <v>53</v>
      </c>
      <c r="AI95" s="28">
        <f t="shared" si="6"/>
        <v>0.68</v>
      </c>
      <c r="AJ95" s="28">
        <f t="shared" si="7"/>
        <v>0.95</v>
      </c>
    </row>
    <row r="96" spans="1:36" x14ac:dyDescent="0.45">
      <c r="A96" t="s">
        <v>164</v>
      </c>
      <c r="B96" t="s">
        <v>95</v>
      </c>
      <c r="C96" t="s">
        <v>234</v>
      </c>
      <c r="D96" t="s">
        <v>234</v>
      </c>
      <c r="E96" t="s">
        <v>235</v>
      </c>
      <c r="F96" t="s">
        <v>235</v>
      </c>
      <c r="G96" t="s">
        <v>235</v>
      </c>
      <c r="H96" t="s">
        <v>235</v>
      </c>
      <c r="I96" t="s">
        <v>235</v>
      </c>
      <c r="J96" t="s">
        <v>235</v>
      </c>
      <c r="K96" t="s">
        <v>234</v>
      </c>
      <c r="L96" t="s">
        <v>235</v>
      </c>
      <c r="M96" t="s">
        <v>235</v>
      </c>
      <c r="N96" t="s">
        <v>235</v>
      </c>
      <c r="O96" t="s">
        <v>234</v>
      </c>
      <c r="P96" t="s">
        <v>235</v>
      </c>
      <c r="Q96" t="s">
        <v>235</v>
      </c>
      <c r="R96" t="s">
        <v>235</v>
      </c>
      <c r="S96" t="s">
        <v>235</v>
      </c>
      <c r="T96" t="s">
        <v>235</v>
      </c>
      <c r="U96" t="s">
        <v>235</v>
      </c>
      <c r="V96" t="s">
        <v>234</v>
      </c>
      <c r="W96" t="s">
        <v>235</v>
      </c>
      <c r="X96" t="s">
        <v>234</v>
      </c>
      <c r="Y96" t="s">
        <v>234</v>
      </c>
      <c r="Z96" t="s">
        <v>235</v>
      </c>
      <c r="AA96" t="s">
        <v>235</v>
      </c>
      <c r="AB96">
        <f t="shared" si="4"/>
        <v>36</v>
      </c>
      <c r="AC96">
        <f>VLOOKUP(B96,'중1AD(문법주관식)'!$B$2:$H$29,7,)</f>
        <v>17</v>
      </c>
      <c r="AD96">
        <f t="shared" si="5"/>
        <v>53</v>
      </c>
      <c r="AI96" s="28">
        <f t="shared" si="6"/>
        <v>0.72</v>
      </c>
      <c r="AJ96" s="28">
        <f t="shared" si="7"/>
        <v>0.85</v>
      </c>
    </row>
    <row r="97" spans="1:36" x14ac:dyDescent="0.45">
      <c r="A97" t="s">
        <v>164</v>
      </c>
      <c r="B97" t="s">
        <v>96</v>
      </c>
      <c r="C97" t="s">
        <v>234</v>
      </c>
      <c r="D97" t="s">
        <v>234</v>
      </c>
      <c r="E97" t="s">
        <v>235</v>
      </c>
      <c r="F97" t="s">
        <v>235</v>
      </c>
      <c r="G97" t="s">
        <v>235</v>
      </c>
      <c r="H97" t="s">
        <v>235</v>
      </c>
      <c r="I97" t="s">
        <v>235</v>
      </c>
      <c r="J97" t="s">
        <v>235</v>
      </c>
      <c r="K97" t="s">
        <v>234</v>
      </c>
      <c r="L97" t="s">
        <v>235</v>
      </c>
      <c r="M97" t="s">
        <v>234</v>
      </c>
      <c r="N97" t="s">
        <v>235</v>
      </c>
      <c r="O97" t="s">
        <v>234</v>
      </c>
      <c r="P97" t="s">
        <v>235</v>
      </c>
      <c r="Q97" t="s">
        <v>235</v>
      </c>
      <c r="R97" t="s">
        <v>235</v>
      </c>
      <c r="S97" t="s">
        <v>235</v>
      </c>
      <c r="T97" t="s">
        <v>235</v>
      </c>
      <c r="U97" t="s">
        <v>235</v>
      </c>
      <c r="V97" t="s">
        <v>234</v>
      </c>
      <c r="W97" t="s">
        <v>234</v>
      </c>
      <c r="X97" t="s">
        <v>234</v>
      </c>
      <c r="Y97" t="s">
        <v>234</v>
      </c>
      <c r="Z97" t="s">
        <v>235</v>
      </c>
      <c r="AA97" t="s">
        <v>234</v>
      </c>
      <c r="AB97">
        <f t="shared" si="4"/>
        <v>30</v>
      </c>
      <c r="AC97">
        <f>VLOOKUP(B97,'중1AD(문법주관식)'!$B$2:$H$29,7,)</f>
        <v>19</v>
      </c>
      <c r="AD97">
        <f t="shared" si="5"/>
        <v>49</v>
      </c>
      <c r="AI97" s="28">
        <f t="shared" si="6"/>
        <v>0.6</v>
      </c>
      <c r="AJ97" s="28">
        <f t="shared" si="7"/>
        <v>0.95</v>
      </c>
    </row>
    <row r="98" spans="1:36" x14ac:dyDescent="0.45">
      <c r="A98" t="s">
        <v>164</v>
      </c>
      <c r="B98" t="s">
        <v>97</v>
      </c>
      <c r="C98" t="s">
        <v>235</v>
      </c>
      <c r="D98" t="s">
        <v>234</v>
      </c>
      <c r="E98" t="s">
        <v>234</v>
      </c>
      <c r="F98" t="s">
        <v>235</v>
      </c>
      <c r="G98" t="s">
        <v>235</v>
      </c>
      <c r="H98" t="s">
        <v>235</v>
      </c>
      <c r="I98" t="s">
        <v>235</v>
      </c>
      <c r="J98" t="s">
        <v>235</v>
      </c>
      <c r="K98" t="s">
        <v>235</v>
      </c>
      <c r="L98" t="s">
        <v>235</v>
      </c>
      <c r="M98" t="s">
        <v>235</v>
      </c>
      <c r="N98" t="s">
        <v>235</v>
      </c>
      <c r="O98" t="s">
        <v>235</v>
      </c>
      <c r="P98" t="s">
        <v>235</v>
      </c>
      <c r="Q98" t="s">
        <v>235</v>
      </c>
      <c r="R98" t="s">
        <v>235</v>
      </c>
      <c r="S98" t="s">
        <v>235</v>
      </c>
      <c r="T98" t="s">
        <v>235</v>
      </c>
      <c r="U98" t="s">
        <v>235</v>
      </c>
      <c r="V98" t="s">
        <v>234</v>
      </c>
      <c r="W98" t="s">
        <v>235</v>
      </c>
      <c r="X98" t="s">
        <v>234</v>
      </c>
      <c r="Y98" t="s">
        <v>234</v>
      </c>
      <c r="Z98" t="s">
        <v>235</v>
      </c>
      <c r="AA98" t="s">
        <v>235</v>
      </c>
      <c r="AB98">
        <f t="shared" si="4"/>
        <v>40</v>
      </c>
      <c r="AC98">
        <f>VLOOKUP(B98,'중1AD(문법주관식)'!$B$2:$H$29,7,)</f>
        <v>20</v>
      </c>
      <c r="AD98">
        <f t="shared" si="5"/>
        <v>60</v>
      </c>
      <c r="AI98" s="28">
        <f t="shared" si="6"/>
        <v>0.8</v>
      </c>
      <c r="AJ98" s="28">
        <f t="shared" si="7"/>
        <v>1</v>
      </c>
    </row>
    <row r="99" spans="1:36" x14ac:dyDescent="0.45">
      <c r="A99" t="s">
        <v>164</v>
      </c>
      <c r="B99" t="s">
        <v>98</v>
      </c>
      <c r="C99" t="s">
        <v>234</v>
      </c>
      <c r="D99" t="s">
        <v>235</v>
      </c>
      <c r="E99" t="s">
        <v>234</v>
      </c>
      <c r="F99" t="s">
        <v>235</v>
      </c>
      <c r="G99" t="s">
        <v>235</v>
      </c>
      <c r="H99" t="s">
        <v>235</v>
      </c>
      <c r="I99" t="s">
        <v>235</v>
      </c>
      <c r="J99" t="s">
        <v>235</v>
      </c>
      <c r="K99" t="s">
        <v>234</v>
      </c>
      <c r="L99" t="s">
        <v>235</v>
      </c>
      <c r="M99" t="s">
        <v>235</v>
      </c>
      <c r="N99" t="s">
        <v>235</v>
      </c>
      <c r="O99" t="s">
        <v>235</v>
      </c>
      <c r="P99" t="s">
        <v>235</v>
      </c>
      <c r="Q99" t="s">
        <v>235</v>
      </c>
      <c r="R99" t="s">
        <v>235</v>
      </c>
      <c r="S99" t="s">
        <v>234</v>
      </c>
      <c r="T99" t="s">
        <v>235</v>
      </c>
      <c r="U99" t="s">
        <v>235</v>
      </c>
      <c r="V99" t="s">
        <v>235</v>
      </c>
      <c r="W99" t="s">
        <v>235</v>
      </c>
      <c r="X99" t="s">
        <v>234</v>
      </c>
      <c r="Y99" t="s">
        <v>235</v>
      </c>
      <c r="Z99" t="s">
        <v>235</v>
      </c>
      <c r="AA99" t="s">
        <v>235</v>
      </c>
      <c r="AB99">
        <f t="shared" si="4"/>
        <v>40</v>
      </c>
      <c r="AC99">
        <f>VLOOKUP(B99,'중1AD(문법주관식)'!$B$2:$H$29,7,)</f>
        <v>16</v>
      </c>
      <c r="AD99">
        <f t="shared" si="5"/>
        <v>56</v>
      </c>
      <c r="AI99" s="28">
        <f t="shared" si="6"/>
        <v>0.8</v>
      </c>
      <c r="AJ99" s="28">
        <f t="shared" si="7"/>
        <v>0.8</v>
      </c>
    </row>
    <row r="100" spans="1:36" x14ac:dyDescent="0.45">
      <c r="A100" t="s">
        <v>164</v>
      </c>
      <c r="B100" t="s">
        <v>99</v>
      </c>
      <c r="C100" t="s">
        <v>235</v>
      </c>
      <c r="D100" t="s">
        <v>234</v>
      </c>
      <c r="E100" t="s">
        <v>234</v>
      </c>
      <c r="F100" t="s">
        <v>234</v>
      </c>
      <c r="G100" t="s">
        <v>235</v>
      </c>
      <c r="H100" t="s">
        <v>235</v>
      </c>
      <c r="I100" t="s">
        <v>234</v>
      </c>
      <c r="J100" t="s">
        <v>235</v>
      </c>
      <c r="K100" t="s">
        <v>234</v>
      </c>
      <c r="L100" t="s">
        <v>234</v>
      </c>
      <c r="M100" t="s">
        <v>235</v>
      </c>
      <c r="N100" t="s">
        <v>235</v>
      </c>
      <c r="O100" t="s">
        <v>235</v>
      </c>
      <c r="P100" t="s">
        <v>235</v>
      </c>
      <c r="Q100" t="s">
        <v>235</v>
      </c>
      <c r="R100" t="s">
        <v>235</v>
      </c>
      <c r="S100" t="s">
        <v>235</v>
      </c>
      <c r="T100" t="s">
        <v>235</v>
      </c>
      <c r="U100" t="s">
        <v>235</v>
      </c>
      <c r="V100" t="s">
        <v>234</v>
      </c>
      <c r="W100" t="s">
        <v>234</v>
      </c>
      <c r="X100" t="s">
        <v>234</v>
      </c>
      <c r="Y100" t="s">
        <v>235</v>
      </c>
      <c r="Z100" t="s">
        <v>235</v>
      </c>
      <c r="AA100" t="s">
        <v>235</v>
      </c>
      <c r="AB100">
        <f t="shared" si="4"/>
        <v>32</v>
      </c>
      <c r="AC100">
        <f>VLOOKUP(B100,'중1AD(문법주관식)'!$B$2:$H$29,7,)</f>
        <v>18</v>
      </c>
      <c r="AD100">
        <f t="shared" si="5"/>
        <v>50</v>
      </c>
      <c r="AE100" s="27">
        <f>AVERAGE(AD73:AD100)</f>
        <v>54.535714285714285</v>
      </c>
      <c r="AI100" s="28">
        <f t="shared" si="6"/>
        <v>0.64</v>
      </c>
      <c r="AJ100" s="28">
        <f t="shared" si="7"/>
        <v>0.9</v>
      </c>
    </row>
    <row r="101" spans="1:36" x14ac:dyDescent="0.45">
      <c r="AI101" s="28"/>
      <c r="AJ101" s="28"/>
    </row>
    <row r="102" spans="1:36" x14ac:dyDescent="0.45">
      <c r="AI102" s="28"/>
      <c r="AJ102" s="28"/>
    </row>
    <row r="103" spans="1:36" x14ac:dyDescent="0.45">
      <c r="A103" t="s">
        <v>64</v>
      </c>
      <c r="B103" t="s">
        <v>181</v>
      </c>
      <c r="C103" t="s">
        <v>234</v>
      </c>
      <c r="D103" t="s">
        <v>234</v>
      </c>
      <c r="E103" t="s">
        <v>234</v>
      </c>
      <c r="F103" t="s">
        <v>235</v>
      </c>
      <c r="G103" t="s">
        <v>234</v>
      </c>
      <c r="H103" t="s">
        <v>235</v>
      </c>
      <c r="I103" t="s">
        <v>234</v>
      </c>
      <c r="J103" t="s">
        <v>235</v>
      </c>
      <c r="K103" t="s">
        <v>234</v>
      </c>
      <c r="L103" t="s">
        <v>235</v>
      </c>
      <c r="M103" t="s">
        <v>235</v>
      </c>
      <c r="N103" t="s">
        <v>235</v>
      </c>
      <c r="O103" t="s">
        <v>235</v>
      </c>
      <c r="P103" t="s">
        <v>235</v>
      </c>
      <c r="Q103" t="s">
        <v>234</v>
      </c>
      <c r="R103" t="s">
        <v>235</v>
      </c>
      <c r="S103" t="s">
        <v>235</v>
      </c>
      <c r="T103" t="s">
        <v>235</v>
      </c>
      <c r="U103" t="s">
        <v>235</v>
      </c>
      <c r="V103" t="s">
        <v>235</v>
      </c>
      <c r="W103" t="s">
        <v>235</v>
      </c>
      <c r="X103" t="s">
        <v>234</v>
      </c>
      <c r="Y103" t="s">
        <v>234</v>
      </c>
      <c r="Z103" t="s">
        <v>235</v>
      </c>
      <c r="AA103" t="s">
        <v>235</v>
      </c>
      <c r="AB103">
        <f t="shared" si="4"/>
        <v>32</v>
      </c>
      <c r="AC103" t="s">
        <v>238</v>
      </c>
      <c r="AD103">
        <f t="shared" si="5"/>
        <v>32</v>
      </c>
      <c r="AI103" s="28">
        <f t="shared" si="6"/>
        <v>0.64</v>
      </c>
      <c r="AJ103" s="28" t="e">
        <f t="shared" si="7"/>
        <v>#VALUE!</v>
      </c>
    </row>
    <row r="104" spans="1:36" x14ac:dyDescent="0.45">
      <c r="A104" t="s">
        <v>64</v>
      </c>
      <c r="B104" t="s">
        <v>65</v>
      </c>
      <c r="C104" t="s">
        <v>234</v>
      </c>
      <c r="D104" t="s">
        <v>235</v>
      </c>
      <c r="E104" t="s">
        <v>235</v>
      </c>
      <c r="F104" t="s">
        <v>235</v>
      </c>
      <c r="G104" t="s">
        <v>235</v>
      </c>
      <c r="H104" t="s">
        <v>235</v>
      </c>
      <c r="I104" t="s">
        <v>235</v>
      </c>
      <c r="J104" t="s">
        <v>235</v>
      </c>
      <c r="K104" t="s">
        <v>235</v>
      </c>
      <c r="L104" t="s">
        <v>235</v>
      </c>
      <c r="M104" t="s">
        <v>235</v>
      </c>
      <c r="N104" t="s">
        <v>235</v>
      </c>
      <c r="O104" t="s">
        <v>235</v>
      </c>
      <c r="P104" t="s">
        <v>235</v>
      </c>
      <c r="Q104" t="s">
        <v>235</v>
      </c>
      <c r="R104" t="s">
        <v>235</v>
      </c>
      <c r="S104" t="s">
        <v>235</v>
      </c>
      <c r="T104" t="s">
        <v>235</v>
      </c>
      <c r="U104" t="s">
        <v>235</v>
      </c>
      <c r="V104" t="s">
        <v>235</v>
      </c>
      <c r="W104" t="s">
        <v>235</v>
      </c>
      <c r="X104" t="s">
        <v>235</v>
      </c>
      <c r="Y104" t="s">
        <v>235</v>
      </c>
      <c r="Z104" t="s">
        <v>235</v>
      </c>
      <c r="AA104" t="s">
        <v>234</v>
      </c>
      <c r="AB104">
        <f t="shared" si="4"/>
        <v>46</v>
      </c>
      <c r="AC104">
        <f>VLOOKUP(B104,'중1IVY(문법주관식)'!$B$2:$H$9,7,)</f>
        <v>19</v>
      </c>
      <c r="AD104">
        <f t="shared" si="5"/>
        <v>65</v>
      </c>
      <c r="AI104" s="28">
        <f t="shared" si="6"/>
        <v>0.92</v>
      </c>
      <c r="AJ104" s="28">
        <f t="shared" si="7"/>
        <v>0.95</v>
      </c>
    </row>
    <row r="105" spans="1:36" x14ac:dyDescent="0.45">
      <c r="A105" t="s">
        <v>64</v>
      </c>
      <c r="B105" t="s">
        <v>66</v>
      </c>
      <c r="C105" t="s">
        <v>235</v>
      </c>
      <c r="D105" t="s">
        <v>235</v>
      </c>
      <c r="E105" t="s">
        <v>235</v>
      </c>
      <c r="F105" t="s">
        <v>235</v>
      </c>
      <c r="G105" t="s">
        <v>234</v>
      </c>
      <c r="H105" t="s">
        <v>235</v>
      </c>
      <c r="I105" t="s">
        <v>235</v>
      </c>
      <c r="J105" t="s">
        <v>235</v>
      </c>
      <c r="K105" t="s">
        <v>235</v>
      </c>
      <c r="L105" t="s">
        <v>235</v>
      </c>
      <c r="M105" t="s">
        <v>234</v>
      </c>
      <c r="N105" t="s">
        <v>235</v>
      </c>
      <c r="O105" t="s">
        <v>235</v>
      </c>
      <c r="P105" t="s">
        <v>235</v>
      </c>
      <c r="Q105" t="s">
        <v>234</v>
      </c>
      <c r="R105" t="s">
        <v>235</v>
      </c>
      <c r="S105" t="s">
        <v>235</v>
      </c>
      <c r="T105" t="s">
        <v>235</v>
      </c>
      <c r="U105" t="s">
        <v>235</v>
      </c>
      <c r="V105" t="s">
        <v>235</v>
      </c>
      <c r="W105" t="s">
        <v>234</v>
      </c>
      <c r="X105" t="s">
        <v>235</v>
      </c>
      <c r="Y105" t="s">
        <v>235</v>
      </c>
      <c r="Z105" t="s">
        <v>235</v>
      </c>
      <c r="AA105" t="s">
        <v>235</v>
      </c>
      <c r="AB105">
        <f t="shared" si="4"/>
        <v>42</v>
      </c>
      <c r="AC105">
        <f>VLOOKUP(B105,'중1IVY(문법주관식)'!$B$2:$H$9,7,)</f>
        <v>17</v>
      </c>
      <c r="AD105">
        <f t="shared" si="5"/>
        <v>59</v>
      </c>
      <c r="AI105" s="28">
        <f t="shared" si="6"/>
        <v>0.84</v>
      </c>
      <c r="AJ105" s="28">
        <f t="shared" si="7"/>
        <v>0.85</v>
      </c>
    </row>
    <row r="106" spans="1:36" x14ac:dyDescent="0.45">
      <c r="A106" t="s">
        <v>64</v>
      </c>
      <c r="B106" t="s">
        <v>67</v>
      </c>
      <c r="C106" t="s">
        <v>234</v>
      </c>
      <c r="D106" t="s">
        <v>235</v>
      </c>
      <c r="E106" t="s">
        <v>234</v>
      </c>
      <c r="F106" t="s">
        <v>235</v>
      </c>
      <c r="G106" t="s">
        <v>235</v>
      </c>
      <c r="H106" t="s">
        <v>235</v>
      </c>
      <c r="I106" t="s">
        <v>235</v>
      </c>
      <c r="J106" t="s">
        <v>235</v>
      </c>
      <c r="K106" t="s">
        <v>235</v>
      </c>
      <c r="L106" t="s">
        <v>235</v>
      </c>
      <c r="M106" t="s">
        <v>235</v>
      </c>
      <c r="N106" t="s">
        <v>235</v>
      </c>
      <c r="O106" t="s">
        <v>235</v>
      </c>
      <c r="P106" t="s">
        <v>235</v>
      </c>
      <c r="Q106" t="s">
        <v>234</v>
      </c>
      <c r="R106" t="s">
        <v>235</v>
      </c>
      <c r="S106" t="s">
        <v>235</v>
      </c>
      <c r="T106" t="s">
        <v>235</v>
      </c>
      <c r="U106" t="s">
        <v>235</v>
      </c>
      <c r="V106" t="s">
        <v>235</v>
      </c>
      <c r="W106" t="s">
        <v>235</v>
      </c>
      <c r="X106" t="s">
        <v>235</v>
      </c>
      <c r="Y106" t="s">
        <v>234</v>
      </c>
      <c r="Z106" t="s">
        <v>235</v>
      </c>
      <c r="AA106" t="s">
        <v>235</v>
      </c>
      <c r="AB106">
        <f t="shared" si="4"/>
        <v>42</v>
      </c>
      <c r="AC106">
        <f>VLOOKUP(B106,'중1IVY(문법주관식)'!$B$2:$H$9,7,)</f>
        <v>19</v>
      </c>
      <c r="AD106">
        <f t="shared" si="5"/>
        <v>61</v>
      </c>
      <c r="AI106" s="28">
        <f t="shared" si="6"/>
        <v>0.84</v>
      </c>
      <c r="AJ106" s="28">
        <f t="shared" si="7"/>
        <v>0.95</v>
      </c>
    </row>
    <row r="107" spans="1:36" x14ac:dyDescent="0.45">
      <c r="A107" t="s">
        <v>64</v>
      </c>
      <c r="B107" t="s">
        <v>68</v>
      </c>
      <c r="C107" t="s">
        <v>234</v>
      </c>
      <c r="D107" t="s">
        <v>235</v>
      </c>
      <c r="E107" t="s">
        <v>235</v>
      </c>
      <c r="F107" t="s">
        <v>235</v>
      </c>
      <c r="G107" t="s">
        <v>235</v>
      </c>
      <c r="H107" t="s">
        <v>235</v>
      </c>
      <c r="I107" t="s">
        <v>235</v>
      </c>
      <c r="J107" t="s">
        <v>235</v>
      </c>
      <c r="K107" t="s">
        <v>235</v>
      </c>
      <c r="L107" t="s">
        <v>235</v>
      </c>
      <c r="M107" t="s">
        <v>235</v>
      </c>
      <c r="N107" t="s">
        <v>235</v>
      </c>
      <c r="O107" t="s">
        <v>235</v>
      </c>
      <c r="P107" t="s">
        <v>235</v>
      </c>
      <c r="Q107" t="s">
        <v>234</v>
      </c>
      <c r="R107" t="s">
        <v>235</v>
      </c>
      <c r="S107" t="s">
        <v>235</v>
      </c>
      <c r="T107" t="s">
        <v>235</v>
      </c>
      <c r="U107" t="s">
        <v>235</v>
      </c>
      <c r="V107" t="s">
        <v>235</v>
      </c>
      <c r="W107" t="s">
        <v>235</v>
      </c>
      <c r="X107" t="s">
        <v>235</v>
      </c>
      <c r="Y107" t="s">
        <v>234</v>
      </c>
      <c r="Z107" t="s">
        <v>235</v>
      </c>
      <c r="AA107" t="s">
        <v>235</v>
      </c>
      <c r="AB107">
        <f t="shared" si="4"/>
        <v>44</v>
      </c>
      <c r="AC107">
        <f>VLOOKUP(B107,'중1IVY(문법주관식)'!$B$2:$H$9,7,)</f>
        <v>17</v>
      </c>
      <c r="AD107">
        <f t="shared" si="5"/>
        <v>61</v>
      </c>
      <c r="AI107" s="28">
        <f t="shared" si="6"/>
        <v>0.88</v>
      </c>
      <c r="AJ107" s="28">
        <f t="shared" si="7"/>
        <v>0.85</v>
      </c>
    </row>
    <row r="108" spans="1:36" x14ac:dyDescent="0.45">
      <c r="A108" t="s">
        <v>64</v>
      </c>
      <c r="B108" t="s">
        <v>69</v>
      </c>
      <c r="C108" t="s">
        <v>235</v>
      </c>
      <c r="D108" t="s">
        <v>235</v>
      </c>
      <c r="E108" t="s">
        <v>235</v>
      </c>
      <c r="F108" t="s">
        <v>235</v>
      </c>
      <c r="G108" t="s">
        <v>234</v>
      </c>
      <c r="H108" t="s">
        <v>235</v>
      </c>
      <c r="I108" t="s">
        <v>235</v>
      </c>
      <c r="J108" t="s">
        <v>235</v>
      </c>
      <c r="K108" t="s">
        <v>235</v>
      </c>
      <c r="L108" t="s">
        <v>235</v>
      </c>
      <c r="M108" t="s">
        <v>235</v>
      </c>
      <c r="N108" t="s">
        <v>235</v>
      </c>
      <c r="O108" t="s">
        <v>235</v>
      </c>
      <c r="P108" t="s">
        <v>235</v>
      </c>
      <c r="Q108" t="s">
        <v>234</v>
      </c>
      <c r="R108" t="s">
        <v>235</v>
      </c>
      <c r="S108" t="s">
        <v>235</v>
      </c>
      <c r="T108" t="s">
        <v>235</v>
      </c>
      <c r="U108" t="s">
        <v>235</v>
      </c>
      <c r="V108" t="s">
        <v>235</v>
      </c>
      <c r="W108" t="s">
        <v>234</v>
      </c>
      <c r="X108" t="s">
        <v>235</v>
      </c>
      <c r="Y108" t="s">
        <v>234</v>
      </c>
      <c r="Z108" t="s">
        <v>235</v>
      </c>
      <c r="AA108" t="s">
        <v>235</v>
      </c>
      <c r="AB108">
        <f t="shared" si="4"/>
        <v>42</v>
      </c>
      <c r="AC108">
        <f>VLOOKUP(B108,'중1IVY(문법주관식)'!$B$2:$H$9,7,)</f>
        <v>19</v>
      </c>
      <c r="AD108">
        <f t="shared" si="5"/>
        <v>61</v>
      </c>
      <c r="AI108" s="28">
        <f t="shared" si="6"/>
        <v>0.84</v>
      </c>
      <c r="AJ108" s="28">
        <f t="shared" si="7"/>
        <v>0.95</v>
      </c>
    </row>
    <row r="109" spans="1:36" x14ac:dyDescent="0.45">
      <c r="A109" t="s">
        <v>64</v>
      </c>
      <c r="B109" t="s">
        <v>70</v>
      </c>
      <c r="C109" t="s">
        <v>234</v>
      </c>
      <c r="D109" t="s">
        <v>235</v>
      </c>
      <c r="E109" t="s">
        <v>235</v>
      </c>
      <c r="F109" t="s">
        <v>235</v>
      </c>
      <c r="G109" t="s">
        <v>234</v>
      </c>
      <c r="H109" t="s">
        <v>234</v>
      </c>
      <c r="I109" t="s">
        <v>235</v>
      </c>
      <c r="J109" t="s">
        <v>235</v>
      </c>
      <c r="K109" t="s">
        <v>235</v>
      </c>
      <c r="L109" t="s">
        <v>235</v>
      </c>
      <c r="M109" t="s">
        <v>234</v>
      </c>
      <c r="N109" t="s">
        <v>235</v>
      </c>
      <c r="O109" t="s">
        <v>235</v>
      </c>
      <c r="P109" t="s">
        <v>235</v>
      </c>
      <c r="Q109" t="s">
        <v>234</v>
      </c>
      <c r="R109" t="s">
        <v>235</v>
      </c>
      <c r="S109" t="s">
        <v>235</v>
      </c>
      <c r="T109" t="s">
        <v>235</v>
      </c>
      <c r="U109" t="s">
        <v>235</v>
      </c>
      <c r="V109" t="s">
        <v>235</v>
      </c>
      <c r="W109" t="s">
        <v>234</v>
      </c>
      <c r="X109" t="s">
        <v>235</v>
      </c>
      <c r="Y109" t="s">
        <v>234</v>
      </c>
      <c r="Z109" t="s">
        <v>235</v>
      </c>
      <c r="AA109" t="s">
        <v>235</v>
      </c>
      <c r="AB109">
        <f t="shared" si="4"/>
        <v>36</v>
      </c>
      <c r="AC109">
        <f>VLOOKUP(B109,'중1IVY(문법주관식)'!$B$2:$H$9,7,)</f>
        <v>17</v>
      </c>
      <c r="AD109">
        <f t="shared" si="5"/>
        <v>53</v>
      </c>
      <c r="AI109" s="28">
        <f t="shared" si="6"/>
        <v>0.72</v>
      </c>
      <c r="AJ109" s="28">
        <f t="shared" si="7"/>
        <v>0.85</v>
      </c>
    </row>
    <row r="110" spans="1:36" x14ac:dyDescent="0.45">
      <c r="A110" t="s">
        <v>64</v>
      </c>
      <c r="B110" t="s">
        <v>71</v>
      </c>
      <c r="C110" t="s">
        <v>235</v>
      </c>
      <c r="D110" t="s">
        <v>235</v>
      </c>
      <c r="E110" t="s">
        <v>235</v>
      </c>
      <c r="F110" t="s">
        <v>235</v>
      </c>
      <c r="G110" t="s">
        <v>234</v>
      </c>
      <c r="H110" t="s">
        <v>235</v>
      </c>
      <c r="I110" t="s">
        <v>235</v>
      </c>
      <c r="J110" t="s">
        <v>235</v>
      </c>
      <c r="K110" t="s">
        <v>235</v>
      </c>
      <c r="L110" t="s">
        <v>235</v>
      </c>
      <c r="M110" t="s">
        <v>235</v>
      </c>
      <c r="N110" t="s">
        <v>235</v>
      </c>
      <c r="O110" t="s">
        <v>235</v>
      </c>
      <c r="P110" t="s">
        <v>235</v>
      </c>
      <c r="Q110" t="s">
        <v>234</v>
      </c>
      <c r="R110" t="s">
        <v>235</v>
      </c>
      <c r="S110" t="s">
        <v>235</v>
      </c>
      <c r="T110" t="s">
        <v>235</v>
      </c>
      <c r="U110" t="s">
        <v>235</v>
      </c>
      <c r="V110" t="s">
        <v>235</v>
      </c>
      <c r="W110" t="s">
        <v>235</v>
      </c>
      <c r="X110" t="s">
        <v>235</v>
      </c>
      <c r="Y110" t="s">
        <v>235</v>
      </c>
      <c r="Z110" t="s">
        <v>235</v>
      </c>
      <c r="AA110" t="s">
        <v>235</v>
      </c>
      <c r="AB110">
        <f t="shared" si="4"/>
        <v>46</v>
      </c>
      <c r="AC110">
        <f>VLOOKUP(B110,'중1IVY(문법주관식)'!$B$2:$H$9,7,)</f>
        <v>20</v>
      </c>
      <c r="AD110">
        <f t="shared" si="5"/>
        <v>66</v>
      </c>
      <c r="AI110" s="28">
        <f t="shared" si="6"/>
        <v>0.92</v>
      </c>
      <c r="AJ110" s="28">
        <f t="shared" si="7"/>
        <v>1</v>
      </c>
    </row>
    <row r="111" spans="1:36" x14ac:dyDescent="0.45">
      <c r="A111" t="s">
        <v>64</v>
      </c>
      <c r="B111" t="s">
        <v>72</v>
      </c>
      <c r="C111" t="s">
        <v>235</v>
      </c>
      <c r="D111" t="s">
        <v>235</v>
      </c>
      <c r="E111" t="s">
        <v>235</v>
      </c>
      <c r="F111" t="s">
        <v>235</v>
      </c>
      <c r="G111" t="s">
        <v>235</v>
      </c>
      <c r="H111" t="s">
        <v>235</v>
      </c>
      <c r="I111" t="s">
        <v>235</v>
      </c>
      <c r="J111" t="s">
        <v>235</v>
      </c>
      <c r="K111" t="s">
        <v>235</v>
      </c>
      <c r="L111" t="s">
        <v>235</v>
      </c>
      <c r="M111" t="s">
        <v>235</v>
      </c>
      <c r="N111" t="s">
        <v>235</v>
      </c>
      <c r="O111" t="s">
        <v>235</v>
      </c>
      <c r="P111" t="s">
        <v>235</v>
      </c>
      <c r="Q111" t="s">
        <v>234</v>
      </c>
      <c r="R111" t="s">
        <v>235</v>
      </c>
      <c r="S111" t="s">
        <v>235</v>
      </c>
      <c r="T111" t="s">
        <v>235</v>
      </c>
      <c r="U111" t="s">
        <v>235</v>
      </c>
      <c r="V111" t="s">
        <v>235</v>
      </c>
      <c r="W111" t="s">
        <v>235</v>
      </c>
      <c r="X111" t="s">
        <v>235</v>
      </c>
      <c r="Y111" t="s">
        <v>235</v>
      </c>
      <c r="Z111" t="s">
        <v>235</v>
      </c>
      <c r="AA111" t="s">
        <v>235</v>
      </c>
      <c r="AB111">
        <f t="shared" si="4"/>
        <v>48</v>
      </c>
      <c r="AC111">
        <f>VLOOKUP(B111,'중1IVY(문법주관식)'!$B$2:$H$9,7,)</f>
        <v>19</v>
      </c>
      <c r="AD111">
        <f t="shared" si="5"/>
        <v>67</v>
      </c>
      <c r="AE111" s="27">
        <f>AVERAGE(AD103:AD111)</f>
        <v>58.333333333333336</v>
      </c>
      <c r="AI111" s="28">
        <f t="shared" si="6"/>
        <v>0.96</v>
      </c>
      <c r="AJ111" s="28">
        <f t="shared" si="7"/>
        <v>0.95</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AE18-1B66-4EA7-A760-E2367D68875A}">
  <sheetPr>
    <tabColor rgb="FFFFFF00"/>
  </sheetPr>
  <dimension ref="A1:AK111"/>
  <sheetViews>
    <sheetView topLeftCell="F1" zoomScale="80" zoomScaleNormal="80" workbookViewId="0">
      <selection activeCell="AK7" sqref="AK7"/>
    </sheetView>
  </sheetViews>
  <sheetFormatPr defaultRowHeight="17.5" x14ac:dyDescent="0.45"/>
  <cols>
    <col min="1" max="1" width="4.61328125" bestFit="1" customWidth="1"/>
    <col min="2" max="2" width="10.84375" bestFit="1" customWidth="1"/>
    <col min="4" max="9" width="7" bestFit="1" customWidth="1"/>
    <col min="10" max="23" width="8.61328125" bestFit="1" customWidth="1"/>
    <col min="24" max="28" width="6.765625" bestFit="1" customWidth="1"/>
  </cols>
  <sheetData>
    <row r="1" spans="1:37" x14ac:dyDescent="0.45">
      <c r="D1" t="s">
        <v>107</v>
      </c>
      <c r="E1" t="s">
        <v>107</v>
      </c>
      <c r="F1" t="s">
        <v>107</v>
      </c>
      <c r="G1" t="s">
        <v>107</v>
      </c>
      <c r="H1" t="s">
        <v>107</v>
      </c>
      <c r="I1" t="s">
        <v>107</v>
      </c>
      <c r="J1" t="s">
        <v>108</v>
      </c>
      <c r="K1" t="s">
        <v>108</v>
      </c>
      <c r="L1" t="s">
        <v>108</v>
      </c>
      <c r="M1" t="s">
        <v>108</v>
      </c>
      <c r="N1" t="s">
        <v>108</v>
      </c>
      <c r="O1" t="s">
        <v>108</v>
      </c>
      <c r="P1" t="s">
        <v>108</v>
      </c>
      <c r="Q1" t="s">
        <v>108</v>
      </c>
      <c r="R1" t="s">
        <v>108</v>
      </c>
      <c r="S1" t="s">
        <v>108</v>
      </c>
      <c r="T1" t="s">
        <v>108</v>
      </c>
      <c r="U1" t="s">
        <v>108</v>
      </c>
      <c r="V1" t="s">
        <v>108</v>
      </c>
      <c r="W1" t="s">
        <v>108</v>
      </c>
      <c r="X1" t="s">
        <v>106</v>
      </c>
      <c r="Y1" t="s">
        <v>106</v>
      </c>
      <c r="Z1" t="s">
        <v>106</v>
      </c>
      <c r="AA1" t="s">
        <v>106</v>
      </c>
      <c r="AB1" t="s">
        <v>106</v>
      </c>
      <c r="AC1" t="s">
        <v>107</v>
      </c>
      <c r="AD1" t="s">
        <v>108</v>
      </c>
      <c r="AE1" t="s">
        <v>106</v>
      </c>
    </row>
    <row r="2" spans="1:37" x14ac:dyDescent="0.45">
      <c r="A2" t="s">
        <v>0</v>
      </c>
      <c r="B2" t="s">
        <v>1</v>
      </c>
      <c r="D2" t="s">
        <v>233</v>
      </c>
      <c r="E2" t="s">
        <v>229</v>
      </c>
      <c r="F2" t="s">
        <v>225</v>
      </c>
      <c r="G2" t="s">
        <v>218</v>
      </c>
      <c r="H2" t="s">
        <v>215</v>
      </c>
      <c r="I2" t="s">
        <v>210</v>
      </c>
      <c r="J2" t="s">
        <v>211</v>
      </c>
      <c r="K2" t="s">
        <v>212</v>
      </c>
      <c r="L2" t="s">
        <v>213</v>
      </c>
      <c r="M2" t="s">
        <v>216</v>
      </c>
      <c r="N2" t="s">
        <v>219</v>
      </c>
      <c r="O2" t="s">
        <v>220</v>
      </c>
      <c r="P2" t="s">
        <v>221</v>
      </c>
      <c r="Q2" t="s">
        <v>222</v>
      </c>
      <c r="R2" t="s">
        <v>223</v>
      </c>
      <c r="S2" t="s">
        <v>226</v>
      </c>
      <c r="T2" t="s">
        <v>227</v>
      </c>
      <c r="U2" t="s">
        <v>230</v>
      </c>
      <c r="V2" t="s">
        <v>231</v>
      </c>
      <c r="W2" t="s">
        <v>232</v>
      </c>
      <c r="X2" t="s">
        <v>228</v>
      </c>
      <c r="Y2" t="s">
        <v>224</v>
      </c>
      <c r="Z2" t="s">
        <v>217</v>
      </c>
      <c r="AA2" t="s">
        <v>214</v>
      </c>
      <c r="AB2" t="s">
        <v>209</v>
      </c>
      <c r="AC2">
        <v>6</v>
      </c>
      <c r="AD2">
        <v>14</v>
      </c>
      <c r="AE2">
        <v>5</v>
      </c>
    </row>
    <row r="3" spans="1:37" x14ac:dyDescent="0.45">
      <c r="A3" t="s">
        <v>2</v>
      </c>
      <c r="B3" t="s">
        <v>120</v>
      </c>
      <c r="D3" t="s">
        <v>235</v>
      </c>
      <c r="E3" t="s">
        <v>234</v>
      </c>
      <c r="F3" t="s">
        <v>234</v>
      </c>
      <c r="G3" t="s">
        <v>235</v>
      </c>
      <c r="H3" t="s">
        <v>235</v>
      </c>
      <c r="I3" t="s">
        <v>235</v>
      </c>
      <c r="J3" t="s">
        <v>235</v>
      </c>
      <c r="K3" t="s">
        <v>235</v>
      </c>
      <c r="L3" t="s">
        <v>235</v>
      </c>
      <c r="M3" t="s">
        <v>235</v>
      </c>
      <c r="N3" t="s">
        <v>235</v>
      </c>
      <c r="O3" t="s">
        <v>235</v>
      </c>
      <c r="P3" t="s">
        <v>235</v>
      </c>
      <c r="Q3" t="s">
        <v>235</v>
      </c>
      <c r="R3" t="s">
        <v>234</v>
      </c>
      <c r="S3" t="s">
        <v>235</v>
      </c>
      <c r="T3" t="s">
        <v>235</v>
      </c>
      <c r="U3" t="s">
        <v>235</v>
      </c>
      <c r="V3" t="s">
        <v>235</v>
      </c>
      <c r="W3" t="s">
        <v>235</v>
      </c>
      <c r="X3" t="s">
        <v>235</v>
      </c>
      <c r="Y3" t="s">
        <v>235</v>
      </c>
      <c r="Z3" t="s">
        <v>235</v>
      </c>
      <c r="AA3" t="s">
        <v>235</v>
      </c>
      <c r="AB3" t="s">
        <v>234</v>
      </c>
      <c r="AC3" s="28">
        <f>(COUNTIF(D3:I3,"O")/6)</f>
        <v>0.66666666666666663</v>
      </c>
      <c r="AD3" s="28">
        <f>(COUNTIF(J3:W3,"O")/14)</f>
        <v>0.9285714285714286</v>
      </c>
      <c r="AE3" s="28">
        <f>COUNTIF(X3:AB3,"O")/5</f>
        <v>0.8</v>
      </c>
      <c r="AG3" s="20" t="s">
        <v>2</v>
      </c>
      <c r="AH3" t="s">
        <v>107</v>
      </c>
      <c r="AI3" t="s">
        <v>108</v>
      </c>
      <c r="AJ3" t="s">
        <v>106</v>
      </c>
      <c r="AK3" t="s">
        <v>243</v>
      </c>
    </row>
    <row r="4" spans="1:37" x14ac:dyDescent="0.45">
      <c r="A4" t="s">
        <v>2</v>
      </c>
      <c r="B4" t="s">
        <v>119</v>
      </c>
      <c r="D4" t="s">
        <v>234</v>
      </c>
      <c r="E4" t="s">
        <v>235</v>
      </c>
      <c r="F4" t="s">
        <v>235</v>
      </c>
      <c r="G4" t="s">
        <v>235</v>
      </c>
      <c r="H4" t="s">
        <v>235</v>
      </c>
      <c r="I4" t="s">
        <v>235</v>
      </c>
      <c r="J4" t="s">
        <v>235</v>
      </c>
      <c r="K4" t="s">
        <v>235</v>
      </c>
      <c r="L4" t="s">
        <v>235</v>
      </c>
      <c r="M4" t="s">
        <v>235</v>
      </c>
      <c r="N4" t="s">
        <v>235</v>
      </c>
      <c r="O4" t="s">
        <v>235</v>
      </c>
      <c r="P4" t="s">
        <v>235</v>
      </c>
      <c r="Q4" t="s">
        <v>235</v>
      </c>
      <c r="R4" t="s">
        <v>235</v>
      </c>
      <c r="S4" t="s">
        <v>235</v>
      </c>
      <c r="T4" t="s">
        <v>235</v>
      </c>
      <c r="U4" t="s">
        <v>234</v>
      </c>
      <c r="V4" t="s">
        <v>235</v>
      </c>
      <c r="W4" t="s">
        <v>234</v>
      </c>
      <c r="X4" t="s">
        <v>234</v>
      </c>
      <c r="Y4" t="s">
        <v>235</v>
      </c>
      <c r="Z4" t="s">
        <v>234</v>
      </c>
      <c r="AA4" t="s">
        <v>235</v>
      </c>
      <c r="AB4" t="s">
        <v>235</v>
      </c>
      <c r="AC4" s="28">
        <f t="shared" ref="AC4:AC44" si="0">(COUNTIF(D4:I4,"O")/6)</f>
        <v>0.83333333333333337</v>
      </c>
      <c r="AD4" s="28">
        <f t="shared" ref="AD4:AD44" si="1">(COUNTIF(J4:W4,"O")/14)</f>
        <v>0.8571428571428571</v>
      </c>
      <c r="AE4" s="28">
        <f t="shared" ref="AE4:AE44" si="2">COUNTIF(X4:AB4,"O")/5</f>
        <v>0.6</v>
      </c>
      <c r="AG4" s="20" t="s">
        <v>43</v>
      </c>
      <c r="AH4" t="s">
        <v>110</v>
      </c>
      <c r="AI4" t="s">
        <v>109</v>
      </c>
      <c r="AJ4" t="s">
        <v>111</v>
      </c>
      <c r="AK4" t="s">
        <v>243</v>
      </c>
    </row>
    <row r="5" spans="1:37" x14ac:dyDescent="0.45">
      <c r="A5" t="s">
        <v>2</v>
      </c>
      <c r="B5" t="s">
        <v>3</v>
      </c>
      <c r="D5" t="s">
        <v>235</v>
      </c>
      <c r="E5" t="s">
        <v>235</v>
      </c>
      <c r="F5" t="s">
        <v>234</v>
      </c>
      <c r="G5" t="s">
        <v>235</v>
      </c>
      <c r="H5" t="s">
        <v>235</v>
      </c>
      <c r="I5" t="s">
        <v>234</v>
      </c>
      <c r="J5" t="s">
        <v>235</v>
      </c>
      <c r="K5" t="s">
        <v>235</v>
      </c>
      <c r="L5" t="s">
        <v>235</v>
      </c>
      <c r="M5" t="s">
        <v>235</v>
      </c>
      <c r="N5" t="s">
        <v>235</v>
      </c>
      <c r="O5" t="s">
        <v>235</v>
      </c>
      <c r="P5" t="s">
        <v>235</v>
      </c>
      <c r="Q5" t="s">
        <v>235</v>
      </c>
      <c r="R5" t="s">
        <v>235</v>
      </c>
      <c r="S5" t="s">
        <v>235</v>
      </c>
      <c r="T5" t="s">
        <v>235</v>
      </c>
      <c r="U5" t="s">
        <v>234</v>
      </c>
      <c r="V5" t="s">
        <v>235</v>
      </c>
      <c r="W5" t="s">
        <v>235</v>
      </c>
      <c r="X5" t="s">
        <v>235</v>
      </c>
      <c r="Y5" t="s">
        <v>235</v>
      </c>
      <c r="Z5" t="s">
        <v>235</v>
      </c>
      <c r="AA5" t="s">
        <v>235</v>
      </c>
      <c r="AB5" t="s">
        <v>235</v>
      </c>
      <c r="AC5" s="28">
        <f t="shared" si="0"/>
        <v>0.66666666666666663</v>
      </c>
      <c r="AD5" s="28">
        <f t="shared" si="1"/>
        <v>0.9285714285714286</v>
      </c>
      <c r="AE5" s="28">
        <f t="shared" si="2"/>
        <v>1</v>
      </c>
      <c r="AG5" s="20" t="s">
        <v>164</v>
      </c>
      <c r="AH5" t="s">
        <v>110</v>
      </c>
      <c r="AI5" t="s">
        <v>109</v>
      </c>
      <c r="AJ5" t="s">
        <v>111</v>
      </c>
      <c r="AK5" t="s">
        <v>243</v>
      </c>
    </row>
    <row r="6" spans="1:37" x14ac:dyDescent="0.45">
      <c r="A6" t="s">
        <v>2</v>
      </c>
      <c r="B6" t="s">
        <v>4</v>
      </c>
      <c r="D6" t="s">
        <v>235</v>
      </c>
      <c r="E6" t="s">
        <v>235</v>
      </c>
      <c r="F6" t="s">
        <v>235</v>
      </c>
      <c r="G6" t="s">
        <v>234</v>
      </c>
      <c r="H6" t="s">
        <v>235</v>
      </c>
      <c r="I6" t="s">
        <v>234</v>
      </c>
      <c r="J6" t="s">
        <v>234</v>
      </c>
      <c r="K6" t="s">
        <v>235</v>
      </c>
      <c r="L6" t="s">
        <v>235</v>
      </c>
      <c r="M6" t="s">
        <v>234</v>
      </c>
      <c r="N6" t="s">
        <v>235</v>
      </c>
      <c r="O6" t="s">
        <v>235</v>
      </c>
      <c r="P6" t="s">
        <v>235</v>
      </c>
      <c r="Q6" t="s">
        <v>235</v>
      </c>
      <c r="R6" t="s">
        <v>235</v>
      </c>
      <c r="S6" t="s">
        <v>234</v>
      </c>
      <c r="T6" t="s">
        <v>235</v>
      </c>
      <c r="U6" t="s">
        <v>234</v>
      </c>
      <c r="V6" t="s">
        <v>235</v>
      </c>
      <c r="W6" t="s">
        <v>235</v>
      </c>
      <c r="X6" t="s">
        <v>235</v>
      </c>
      <c r="Y6" t="s">
        <v>235</v>
      </c>
      <c r="Z6" t="s">
        <v>235</v>
      </c>
      <c r="AA6" t="s">
        <v>235</v>
      </c>
      <c r="AB6" t="s">
        <v>234</v>
      </c>
      <c r="AC6" s="28">
        <f t="shared" si="0"/>
        <v>0.66666666666666663</v>
      </c>
      <c r="AD6" s="28">
        <f t="shared" si="1"/>
        <v>0.7142857142857143</v>
      </c>
      <c r="AE6" s="28">
        <f t="shared" si="2"/>
        <v>0.8</v>
      </c>
      <c r="AG6" s="20" t="s">
        <v>64</v>
      </c>
      <c r="AH6" t="s">
        <v>117</v>
      </c>
      <c r="AI6" t="s">
        <v>115</v>
      </c>
      <c r="AJ6" t="s">
        <v>114</v>
      </c>
      <c r="AK6" t="s">
        <v>116</v>
      </c>
    </row>
    <row r="7" spans="1:37" x14ac:dyDescent="0.45">
      <c r="A7" t="s">
        <v>2</v>
      </c>
      <c r="B7" t="s">
        <v>5</v>
      </c>
      <c r="D7" t="s">
        <v>234</v>
      </c>
      <c r="E7" t="s">
        <v>235</v>
      </c>
      <c r="F7" t="s">
        <v>234</v>
      </c>
      <c r="G7" t="s">
        <v>235</v>
      </c>
      <c r="H7" t="s">
        <v>235</v>
      </c>
      <c r="I7" t="s">
        <v>235</v>
      </c>
      <c r="J7" t="s">
        <v>235</v>
      </c>
      <c r="K7" t="s">
        <v>235</v>
      </c>
      <c r="L7" t="s">
        <v>235</v>
      </c>
      <c r="M7" t="s">
        <v>235</v>
      </c>
      <c r="N7" t="s">
        <v>235</v>
      </c>
      <c r="O7" t="s">
        <v>235</v>
      </c>
      <c r="P7" t="s">
        <v>235</v>
      </c>
      <c r="Q7" t="s">
        <v>235</v>
      </c>
      <c r="R7" t="s">
        <v>234</v>
      </c>
      <c r="S7" t="s">
        <v>235</v>
      </c>
      <c r="T7" t="s">
        <v>235</v>
      </c>
      <c r="U7" t="s">
        <v>235</v>
      </c>
      <c r="V7" t="s">
        <v>234</v>
      </c>
      <c r="W7" t="s">
        <v>234</v>
      </c>
      <c r="X7" t="s">
        <v>235</v>
      </c>
      <c r="Y7" t="s">
        <v>235</v>
      </c>
      <c r="Z7" t="s">
        <v>235</v>
      </c>
      <c r="AA7" t="s">
        <v>235</v>
      </c>
      <c r="AB7" t="s">
        <v>235</v>
      </c>
      <c r="AC7" s="28">
        <f t="shared" si="0"/>
        <v>0.66666666666666663</v>
      </c>
      <c r="AD7" s="28">
        <f t="shared" si="1"/>
        <v>0.7857142857142857</v>
      </c>
      <c r="AE7" s="28">
        <f t="shared" si="2"/>
        <v>1</v>
      </c>
    </row>
    <row r="8" spans="1:37" x14ac:dyDescent="0.45">
      <c r="A8" t="s">
        <v>2</v>
      </c>
      <c r="B8" t="s">
        <v>6</v>
      </c>
      <c r="D8" t="s">
        <v>234</v>
      </c>
      <c r="E8" t="s">
        <v>235</v>
      </c>
      <c r="F8" t="s">
        <v>235</v>
      </c>
      <c r="G8" t="s">
        <v>235</v>
      </c>
      <c r="H8" t="s">
        <v>235</v>
      </c>
      <c r="I8" t="s">
        <v>235</v>
      </c>
      <c r="J8" t="s">
        <v>235</v>
      </c>
      <c r="K8" t="s">
        <v>235</v>
      </c>
      <c r="L8" t="s">
        <v>235</v>
      </c>
      <c r="M8" t="s">
        <v>235</v>
      </c>
      <c r="N8" t="s">
        <v>235</v>
      </c>
      <c r="O8" t="s">
        <v>235</v>
      </c>
      <c r="P8" t="s">
        <v>235</v>
      </c>
      <c r="Q8" t="s">
        <v>235</v>
      </c>
      <c r="R8" t="s">
        <v>235</v>
      </c>
      <c r="S8" t="s">
        <v>235</v>
      </c>
      <c r="T8" t="s">
        <v>235</v>
      </c>
      <c r="U8" t="s">
        <v>235</v>
      </c>
      <c r="V8" t="s">
        <v>234</v>
      </c>
      <c r="W8" t="s">
        <v>235</v>
      </c>
      <c r="X8" t="s">
        <v>235</v>
      </c>
      <c r="Y8" t="s">
        <v>235</v>
      </c>
      <c r="Z8" t="s">
        <v>235</v>
      </c>
      <c r="AA8" t="s">
        <v>235</v>
      </c>
      <c r="AB8" t="s">
        <v>235</v>
      </c>
      <c r="AC8" s="28">
        <f t="shared" si="0"/>
        <v>0.83333333333333337</v>
      </c>
      <c r="AD8" s="28">
        <f t="shared" si="1"/>
        <v>0.9285714285714286</v>
      </c>
      <c r="AE8" s="28">
        <f t="shared" si="2"/>
        <v>1</v>
      </c>
    </row>
    <row r="9" spans="1:37" x14ac:dyDescent="0.45">
      <c r="A9" t="s">
        <v>2</v>
      </c>
      <c r="B9" t="s">
        <v>7</v>
      </c>
      <c r="D9" t="s">
        <v>235</v>
      </c>
      <c r="E9" t="s">
        <v>235</v>
      </c>
      <c r="F9" t="s">
        <v>235</v>
      </c>
      <c r="G9" t="s">
        <v>235</v>
      </c>
      <c r="H9" t="s">
        <v>235</v>
      </c>
      <c r="I9" t="s">
        <v>235</v>
      </c>
      <c r="J9" t="s">
        <v>235</v>
      </c>
      <c r="K9" t="s">
        <v>235</v>
      </c>
      <c r="L9" t="s">
        <v>235</v>
      </c>
      <c r="M9" t="s">
        <v>235</v>
      </c>
      <c r="N9" t="s">
        <v>235</v>
      </c>
      <c r="O9" t="s">
        <v>235</v>
      </c>
      <c r="P9" t="s">
        <v>234</v>
      </c>
      <c r="Q9" t="s">
        <v>235</v>
      </c>
      <c r="R9" t="s">
        <v>235</v>
      </c>
      <c r="S9" t="s">
        <v>234</v>
      </c>
      <c r="T9" t="s">
        <v>235</v>
      </c>
      <c r="U9" t="s">
        <v>234</v>
      </c>
      <c r="V9" t="s">
        <v>235</v>
      </c>
      <c r="W9" t="s">
        <v>234</v>
      </c>
      <c r="X9" t="s">
        <v>235</v>
      </c>
      <c r="Y9" t="s">
        <v>235</v>
      </c>
      <c r="Z9" t="s">
        <v>235</v>
      </c>
      <c r="AA9" t="s">
        <v>235</v>
      </c>
      <c r="AB9" t="s">
        <v>235</v>
      </c>
      <c r="AC9" s="28">
        <f t="shared" si="0"/>
        <v>1</v>
      </c>
      <c r="AD9" s="28">
        <f t="shared" si="1"/>
        <v>0.7142857142857143</v>
      </c>
      <c r="AE9" s="28">
        <f t="shared" si="2"/>
        <v>1</v>
      </c>
    </row>
    <row r="10" spans="1:37" x14ac:dyDescent="0.45">
      <c r="A10" t="s">
        <v>2</v>
      </c>
      <c r="B10" t="s">
        <v>8</v>
      </c>
      <c r="D10" t="s">
        <v>235</v>
      </c>
      <c r="E10" t="s">
        <v>235</v>
      </c>
      <c r="F10" t="s">
        <v>234</v>
      </c>
      <c r="G10" t="s">
        <v>234</v>
      </c>
      <c r="H10" t="s">
        <v>235</v>
      </c>
      <c r="I10" t="s">
        <v>235</v>
      </c>
      <c r="J10" t="s">
        <v>235</v>
      </c>
      <c r="K10" t="s">
        <v>235</v>
      </c>
      <c r="L10" t="s">
        <v>235</v>
      </c>
      <c r="M10" t="s">
        <v>234</v>
      </c>
      <c r="N10" t="s">
        <v>235</v>
      </c>
      <c r="O10" t="s">
        <v>235</v>
      </c>
      <c r="P10" t="s">
        <v>235</v>
      </c>
      <c r="Q10" t="s">
        <v>235</v>
      </c>
      <c r="R10" t="s">
        <v>234</v>
      </c>
      <c r="S10" t="s">
        <v>234</v>
      </c>
      <c r="T10" t="s">
        <v>234</v>
      </c>
      <c r="U10" t="s">
        <v>235</v>
      </c>
      <c r="V10" t="s">
        <v>234</v>
      </c>
      <c r="W10" t="s">
        <v>234</v>
      </c>
      <c r="X10" t="s">
        <v>235</v>
      </c>
      <c r="Y10" t="s">
        <v>234</v>
      </c>
      <c r="Z10" t="s">
        <v>235</v>
      </c>
      <c r="AA10" t="s">
        <v>234</v>
      </c>
      <c r="AB10" t="s">
        <v>234</v>
      </c>
      <c r="AC10" s="28">
        <f t="shared" si="0"/>
        <v>0.66666666666666663</v>
      </c>
      <c r="AD10" s="28">
        <f t="shared" si="1"/>
        <v>0.5714285714285714</v>
      </c>
      <c r="AE10" s="28">
        <f t="shared" si="2"/>
        <v>0.4</v>
      </c>
    </row>
    <row r="11" spans="1:37" x14ac:dyDescent="0.45">
      <c r="A11" t="s">
        <v>2</v>
      </c>
      <c r="B11" t="s">
        <v>9</v>
      </c>
      <c r="D11" t="s">
        <v>234</v>
      </c>
      <c r="E11" t="s">
        <v>234</v>
      </c>
      <c r="F11" t="s">
        <v>234</v>
      </c>
      <c r="G11" t="s">
        <v>235</v>
      </c>
      <c r="H11" t="s">
        <v>235</v>
      </c>
      <c r="I11" t="s">
        <v>234</v>
      </c>
      <c r="J11" t="s">
        <v>234</v>
      </c>
      <c r="K11" t="s">
        <v>234</v>
      </c>
      <c r="L11" t="s">
        <v>234</v>
      </c>
      <c r="M11" t="s">
        <v>234</v>
      </c>
      <c r="N11" t="s">
        <v>235</v>
      </c>
      <c r="O11" t="s">
        <v>235</v>
      </c>
      <c r="P11" t="s">
        <v>234</v>
      </c>
      <c r="Q11" t="s">
        <v>234</v>
      </c>
      <c r="R11" t="s">
        <v>234</v>
      </c>
      <c r="S11" t="s">
        <v>234</v>
      </c>
      <c r="T11" t="s">
        <v>234</v>
      </c>
      <c r="U11" t="s">
        <v>234</v>
      </c>
      <c r="V11" t="s">
        <v>235</v>
      </c>
      <c r="W11" t="s">
        <v>234</v>
      </c>
      <c r="X11" t="s">
        <v>234</v>
      </c>
      <c r="Y11" t="s">
        <v>235</v>
      </c>
      <c r="Z11" t="s">
        <v>234</v>
      </c>
      <c r="AA11" t="s">
        <v>235</v>
      </c>
      <c r="AB11" t="s">
        <v>234</v>
      </c>
      <c r="AC11" s="28">
        <f t="shared" si="0"/>
        <v>0.33333333333333331</v>
      </c>
      <c r="AD11" s="28">
        <f t="shared" si="1"/>
        <v>0.21428571428571427</v>
      </c>
      <c r="AE11" s="28">
        <f t="shared" si="2"/>
        <v>0.4</v>
      </c>
    </row>
    <row r="12" spans="1:37" x14ac:dyDescent="0.45">
      <c r="A12" t="s">
        <v>2</v>
      </c>
      <c r="B12" t="s">
        <v>10</v>
      </c>
      <c r="D12" t="s">
        <v>235</v>
      </c>
      <c r="E12" t="s">
        <v>235</v>
      </c>
      <c r="F12" t="s">
        <v>234</v>
      </c>
      <c r="G12" t="s">
        <v>235</v>
      </c>
      <c r="H12" t="s">
        <v>235</v>
      </c>
      <c r="I12" t="s">
        <v>235</v>
      </c>
      <c r="J12" t="s">
        <v>235</v>
      </c>
      <c r="K12" t="s">
        <v>235</v>
      </c>
      <c r="L12" t="s">
        <v>235</v>
      </c>
      <c r="M12" t="s">
        <v>235</v>
      </c>
      <c r="N12" t="s">
        <v>235</v>
      </c>
      <c r="O12" t="s">
        <v>235</v>
      </c>
      <c r="P12" t="s">
        <v>235</v>
      </c>
      <c r="Q12" t="s">
        <v>235</v>
      </c>
      <c r="R12" t="s">
        <v>235</v>
      </c>
      <c r="S12" t="s">
        <v>234</v>
      </c>
      <c r="T12" t="s">
        <v>235</v>
      </c>
      <c r="U12" t="s">
        <v>234</v>
      </c>
      <c r="V12" t="s">
        <v>235</v>
      </c>
      <c r="W12" t="s">
        <v>234</v>
      </c>
      <c r="X12" t="s">
        <v>234</v>
      </c>
      <c r="Y12" t="s">
        <v>235</v>
      </c>
      <c r="Z12" t="s">
        <v>234</v>
      </c>
      <c r="AA12" t="s">
        <v>235</v>
      </c>
      <c r="AB12" t="s">
        <v>235</v>
      </c>
      <c r="AC12" s="28">
        <f t="shared" si="0"/>
        <v>0.83333333333333337</v>
      </c>
      <c r="AD12" s="28">
        <f t="shared" si="1"/>
        <v>0.7857142857142857</v>
      </c>
      <c r="AE12" s="28">
        <f t="shared" si="2"/>
        <v>0.6</v>
      </c>
    </row>
    <row r="13" spans="1:37" x14ac:dyDescent="0.45">
      <c r="A13" t="s">
        <v>2</v>
      </c>
      <c r="B13" t="s">
        <v>11</v>
      </c>
      <c r="D13" t="s">
        <v>235</v>
      </c>
      <c r="E13" t="s">
        <v>235</v>
      </c>
      <c r="F13" t="s">
        <v>235</v>
      </c>
      <c r="G13" t="s">
        <v>235</v>
      </c>
      <c r="H13" t="s">
        <v>235</v>
      </c>
      <c r="I13" t="s">
        <v>235</v>
      </c>
      <c r="J13" t="s">
        <v>235</v>
      </c>
      <c r="K13" t="s">
        <v>235</v>
      </c>
      <c r="L13" t="s">
        <v>235</v>
      </c>
      <c r="M13" t="s">
        <v>235</v>
      </c>
      <c r="N13" t="s">
        <v>235</v>
      </c>
      <c r="O13" t="s">
        <v>235</v>
      </c>
      <c r="P13" t="s">
        <v>235</v>
      </c>
      <c r="Q13" t="s">
        <v>235</v>
      </c>
      <c r="R13" t="s">
        <v>234</v>
      </c>
      <c r="S13" t="s">
        <v>234</v>
      </c>
      <c r="T13" t="s">
        <v>235</v>
      </c>
      <c r="U13" t="s">
        <v>234</v>
      </c>
      <c r="V13" t="s">
        <v>234</v>
      </c>
      <c r="W13" t="s">
        <v>234</v>
      </c>
      <c r="X13" t="s">
        <v>235</v>
      </c>
      <c r="Y13" t="s">
        <v>234</v>
      </c>
      <c r="Z13" t="s">
        <v>234</v>
      </c>
      <c r="AA13" t="s">
        <v>235</v>
      </c>
      <c r="AB13" t="s">
        <v>234</v>
      </c>
      <c r="AC13" s="28">
        <f t="shared" si="0"/>
        <v>1</v>
      </c>
      <c r="AD13" s="28">
        <f t="shared" si="1"/>
        <v>0.6428571428571429</v>
      </c>
      <c r="AE13" s="28">
        <f t="shared" si="2"/>
        <v>0.4</v>
      </c>
    </row>
    <row r="14" spans="1:37" x14ac:dyDescent="0.45">
      <c r="A14" t="s">
        <v>2</v>
      </c>
      <c r="B14" t="s">
        <v>12</v>
      </c>
      <c r="D14" t="s">
        <v>234</v>
      </c>
      <c r="E14" t="s">
        <v>235</v>
      </c>
      <c r="F14" t="s">
        <v>235</v>
      </c>
      <c r="G14" t="s">
        <v>235</v>
      </c>
      <c r="H14" t="s">
        <v>235</v>
      </c>
      <c r="I14" t="s">
        <v>235</v>
      </c>
      <c r="J14" t="s">
        <v>235</v>
      </c>
      <c r="K14" t="s">
        <v>235</v>
      </c>
      <c r="L14" t="s">
        <v>235</v>
      </c>
      <c r="M14" t="s">
        <v>235</v>
      </c>
      <c r="N14" t="s">
        <v>235</v>
      </c>
      <c r="O14" t="s">
        <v>235</v>
      </c>
      <c r="P14" t="s">
        <v>235</v>
      </c>
      <c r="Q14" t="s">
        <v>234</v>
      </c>
      <c r="R14" t="s">
        <v>234</v>
      </c>
      <c r="S14" t="s">
        <v>234</v>
      </c>
      <c r="T14" t="s">
        <v>235</v>
      </c>
      <c r="U14" t="s">
        <v>235</v>
      </c>
      <c r="V14" t="s">
        <v>234</v>
      </c>
      <c r="W14" t="s">
        <v>235</v>
      </c>
      <c r="X14" t="s">
        <v>235</v>
      </c>
      <c r="Y14" t="s">
        <v>235</v>
      </c>
      <c r="Z14" t="s">
        <v>234</v>
      </c>
      <c r="AA14" t="s">
        <v>235</v>
      </c>
      <c r="AB14" t="s">
        <v>235</v>
      </c>
      <c r="AC14" s="28">
        <f t="shared" si="0"/>
        <v>0.83333333333333337</v>
      </c>
      <c r="AD14" s="28">
        <f t="shared" si="1"/>
        <v>0.7142857142857143</v>
      </c>
      <c r="AE14" s="28">
        <f t="shared" si="2"/>
        <v>0.8</v>
      </c>
    </row>
    <row r="15" spans="1:37" x14ac:dyDescent="0.45">
      <c r="A15" t="s">
        <v>2</v>
      </c>
      <c r="B15" t="s">
        <v>13</v>
      </c>
      <c r="D15" t="s">
        <v>235</v>
      </c>
      <c r="E15" t="s">
        <v>235</v>
      </c>
      <c r="F15" t="s">
        <v>235</v>
      </c>
      <c r="G15" t="s">
        <v>235</v>
      </c>
      <c r="H15" t="s">
        <v>235</v>
      </c>
      <c r="I15" t="s">
        <v>235</v>
      </c>
      <c r="J15" t="s">
        <v>235</v>
      </c>
      <c r="K15" t="s">
        <v>235</v>
      </c>
      <c r="L15" t="s">
        <v>235</v>
      </c>
      <c r="M15" t="s">
        <v>235</v>
      </c>
      <c r="N15" t="s">
        <v>235</v>
      </c>
      <c r="O15" t="s">
        <v>235</v>
      </c>
      <c r="P15" t="s">
        <v>235</v>
      </c>
      <c r="Q15" t="s">
        <v>235</v>
      </c>
      <c r="R15" t="s">
        <v>235</v>
      </c>
      <c r="S15" t="s">
        <v>235</v>
      </c>
      <c r="T15" t="s">
        <v>235</v>
      </c>
      <c r="U15" t="s">
        <v>234</v>
      </c>
      <c r="V15" t="s">
        <v>235</v>
      </c>
      <c r="W15" t="s">
        <v>235</v>
      </c>
      <c r="X15" t="s">
        <v>235</v>
      </c>
      <c r="Y15" t="s">
        <v>235</v>
      </c>
      <c r="Z15" t="s">
        <v>235</v>
      </c>
      <c r="AA15" t="s">
        <v>235</v>
      </c>
      <c r="AB15" t="s">
        <v>235</v>
      </c>
      <c r="AC15" s="28">
        <f t="shared" si="0"/>
        <v>1</v>
      </c>
      <c r="AD15" s="28">
        <f t="shared" si="1"/>
        <v>0.9285714285714286</v>
      </c>
      <c r="AE15" s="28">
        <f t="shared" si="2"/>
        <v>1</v>
      </c>
    </row>
    <row r="16" spans="1:37" x14ac:dyDescent="0.45">
      <c r="A16" t="s">
        <v>2</v>
      </c>
      <c r="B16" t="s">
        <v>14</v>
      </c>
      <c r="D16" t="s">
        <v>235</v>
      </c>
      <c r="E16" t="s">
        <v>234</v>
      </c>
      <c r="F16" t="s">
        <v>234</v>
      </c>
      <c r="G16" t="s">
        <v>234</v>
      </c>
      <c r="H16" t="s">
        <v>234</v>
      </c>
      <c r="I16" t="s">
        <v>234</v>
      </c>
      <c r="J16" t="s">
        <v>235</v>
      </c>
      <c r="K16" t="s">
        <v>235</v>
      </c>
      <c r="L16" t="s">
        <v>235</v>
      </c>
      <c r="M16" t="s">
        <v>235</v>
      </c>
      <c r="N16" t="s">
        <v>235</v>
      </c>
      <c r="O16" t="s">
        <v>235</v>
      </c>
      <c r="P16" t="s">
        <v>234</v>
      </c>
      <c r="Q16" t="s">
        <v>235</v>
      </c>
      <c r="R16" t="s">
        <v>234</v>
      </c>
      <c r="S16" t="s">
        <v>234</v>
      </c>
      <c r="T16" t="s">
        <v>234</v>
      </c>
      <c r="U16" t="s">
        <v>234</v>
      </c>
      <c r="V16" t="s">
        <v>235</v>
      </c>
      <c r="W16" t="s">
        <v>235</v>
      </c>
      <c r="X16" t="s">
        <v>235</v>
      </c>
      <c r="Y16" t="s">
        <v>235</v>
      </c>
      <c r="Z16" t="s">
        <v>234</v>
      </c>
      <c r="AA16" t="s">
        <v>234</v>
      </c>
      <c r="AB16" t="s">
        <v>235</v>
      </c>
      <c r="AC16" s="28">
        <f t="shared" si="0"/>
        <v>0.16666666666666666</v>
      </c>
      <c r="AD16" s="28">
        <f t="shared" si="1"/>
        <v>0.6428571428571429</v>
      </c>
      <c r="AE16" s="28">
        <f t="shared" si="2"/>
        <v>0.6</v>
      </c>
    </row>
    <row r="17" spans="1:31" x14ac:dyDescent="0.45">
      <c r="A17" t="s">
        <v>2</v>
      </c>
      <c r="B17" t="s">
        <v>15</v>
      </c>
      <c r="D17" t="s">
        <v>235</v>
      </c>
      <c r="E17" t="s">
        <v>235</v>
      </c>
      <c r="F17" t="s">
        <v>235</v>
      </c>
      <c r="G17" t="s">
        <v>235</v>
      </c>
      <c r="H17" t="s">
        <v>235</v>
      </c>
      <c r="I17" t="s">
        <v>235</v>
      </c>
      <c r="J17" t="s">
        <v>235</v>
      </c>
      <c r="K17" t="s">
        <v>235</v>
      </c>
      <c r="L17" t="s">
        <v>235</v>
      </c>
      <c r="M17" t="s">
        <v>235</v>
      </c>
      <c r="N17" t="s">
        <v>235</v>
      </c>
      <c r="O17" t="s">
        <v>235</v>
      </c>
      <c r="P17" t="s">
        <v>235</v>
      </c>
      <c r="Q17" t="s">
        <v>235</v>
      </c>
      <c r="R17" t="s">
        <v>234</v>
      </c>
      <c r="S17" t="s">
        <v>235</v>
      </c>
      <c r="T17" t="s">
        <v>235</v>
      </c>
      <c r="U17" t="s">
        <v>235</v>
      </c>
      <c r="V17" t="s">
        <v>234</v>
      </c>
      <c r="W17" t="s">
        <v>235</v>
      </c>
      <c r="X17" t="s">
        <v>235</v>
      </c>
      <c r="Y17" t="s">
        <v>235</v>
      </c>
      <c r="Z17" t="s">
        <v>234</v>
      </c>
      <c r="AA17" t="s">
        <v>235</v>
      </c>
      <c r="AB17" t="s">
        <v>235</v>
      </c>
      <c r="AC17" s="28">
        <f t="shared" si="0"/>
        <v>1</v>
      </c>
      <c r="AD17" s="28">
        <f t="shared" si="1"/>
        <v>0.8571428571428571</v>
      </c>
      <c r="AE17" s="28">
        <f t="shared" si="2"/>
        <v>0.8</v>
      </c>
    </row>
    <row r="18" spans="1:31" x14ac:dyDescent="0.45">
      <c r="A18" t="s">
        <v>2</v>
      </c>
      <c r="B18" t="s">
        <v>16</v>
      </c>
      <c r="D18" t="s">
        <v>234</v>
      </c>
      <c r="E18" t="s">
        <v>234</v>
      </c>
      <c r="F18" t="s">
        <v>234</v>
      </c>
      <c r="G18" t="s">
        <v>235</v>
      </c>
      <c r="H18" t="s">
        <v>235</v>
      </c>
      <c r="I18" t="s">
        <v>235</v>
      </c>
      <c r="J18" t="s">
        <v>235</v>
      </c>
      <c r="K18" t="s">
        <v>234</v>
      </c>
      <c r="L18" t="s">
        <v>235</v>
      </c>
      <c r="M18" t="s">
        <v>235</v>
      </c>
      <c r="N18" t="s">
        <v>235</v>
      </c>
      <c r="O18" t="s">
        <v>235</v>
      </c>
      <c r="P18" t="s">
        <v>234</v>
      </c>
      <c r="Q18" t="s">
        <v>234</v>
      </c>
      <c r="R18" t="s">
        <v>234</v>
      </c>
      <c r="S18" t="s">
        <v>234</v>
      </c>
      <c r="T18" t="s">
        <v>235</v>
      </c>
      <c r="U18" t="s">
        <v>235</v>
      </c>
      <c r="V18" t="s">
        <v>234</v>
      </c>
      <c r="W18" t="s">
        <v>234</v>
      </c>
      <c r="X18" t="s">
        <v>235</v>
      </c>
      <c r="Y18" t="s">
        <v>234</v>
      </c>
      <c r="Z18" t="s">
        <v>234</v>
      </c>
      <c r="AA18" t="s">
        <v>234</v>
      </c>
      <c r="AB18" t="s">
        <v>235</v>
      </c>
      <c r="AC18" s="28">
        <f t="shared" si="0"/>
        <v>0.5</v>
      </c>
      <c r="AD18" s="28">
        <f t="shared" si="1"/>
        <v>0.5</v>
      </c>
      <c r="AE18" s="28">
        <f t="shared" si="2"/>
        <v>0.4</v>
      </c>
    </row>
    <row r="19" spans="1:31" x14ac:dyDescent="0.45">
      <c r="A19" t="s">
        <v>2</v>
      </c>
      <c r="B19" t="s">
        <v>17</v>
      </c>
      <c r="D19" t="s">
        <v>234</v>
      </c>
      <c r="E19" t="s">
        <v>234</v>
      </c>
      <c r="F19" t="s">
        <v>235</v>
      </c>
      <c r="G19" t="s">
        <v>235</v>
      </c>
      <c r="H19" t="s">
        <v>235</v>
      </c>
      <c r="I19" t="s">
        <v>235</v>
      </c>
      <c r="J19" t="s">
        <v>235</v>
      </c>
      <c r="K19" t="s">
        <v>235</v>
      </c>
      <c r="L19" t="s">
        <v>235</v>
      </c>
      <c r="M19" t="s">
        <v>235</v>
      </c>
      <c r="N19" t="s">
        <v>235</v>
      </c>
      <c r="O19" t="s">
        <v>235</v>
      </c>
      <c r="P19" t="s">
        <v>235</v>
      </c>
      <c r="Q19" t="s">
        <v>235</v>
      </c>
      <c r="R19" t="s">
        <v>234</v>
      </c>
      <c r="S19" t="s">
        <v>235</v>
      </c>
      <c r="T19" t="s">
        <v>235</v>
      </c>
      <c r="U19" t="s">
        <v>234</v>
      </c>
      <c r="V19" t="s">
        <v>234</v>
      </c>
      <c r="W19" t="s">
        <v>235</v>
      </c>
      <c r="X19" t="s">
        <v>235</v>
      </c>
      <c r="Y19" t="s">
        <v>234</v>
      </c>
      <c r="Z19" t="s">
        <v>234</v>
      </c>
      <c r="AA19" t="s">
        <v>234</v>
      </c>
      <c r="AB19" t="s">
        <v>235</v>
      </c>
      <c r="AC19" s="28">
        <f t="shared" si="0"/>
        <v>0.66666666666666663</v>
      </c>
      <c r="AD19" s="28">
        <f t="shared" si="1"/>
        <v>0.7857142857142857</v>
      </c>
      <c r="AE19" s="28">
        <f t="shared" si="2"/>
        <v>0.4</v>
      </c>
    </row>
    <row r="20" spans="1:31" x14ac:dyDescent="0.45">
      <c r="A20" t="s">
        <v>2</v>
      </c>
      <c r="B20" t="s">
        <v>18</v>
      </c>
      <c r="D20" t="s">
        <v>234</v>
      </c>
      <c r="E20" t="s">
        <v>235</v>
      </c>
      <c r="F20" t="s">
        <v>234</v>
      </c>
      <c r="G20" t="s">
        <v>235</v>
      </c>
      <c r="H20" t="s">
        <v>235</v>
      </c>
      <c r="I20" t="s">
        <v>235</v>
      </c>
      <c r="J20" t="s">
        <v>235</v>
      </c>
      <c r="K20" t="s">
        <v>235</v>
      </c>
      <c r="L20" t="s">
        <v>235</v>
      </c>
      <c r="M20" t="s">
        <v>235</v>
      </c>
      <c r="N20" t="s">
        <v>235</v>
      </c>
      <c r="O20" t="s">
        <v>235</v>
      </c>
      <c r="P20" t="s">
        <v>234</v>
      </c>
      <c r="Q20" t="s">
        <v>235</v>
      </c>
      <c r="R20" t="s">
        <v>235</v>
      </c>
      <c r="S20" t="s">
        <v>234</v>
      </c>
      <c r="T20" t="s">
        <v>235</v>
      </c>
      <c r="U20" t="s">
        <v>234</v>
      </c>
      <c r="V20" t="s">
        <v>234</v>
      </c>
      <c r="W20" t="s">
        <v>235</v>
      </c>
      <c r="X20" t="s">
        <v>235</v>
      </c>
      <c r="Y20" t="s">
        <v>235</v>
      </c>
      <c r="Z20" t="s">
        <v>235</v>
      </c>
      <c r="AA20" t="s">
        <v>235</v>
      </c>
      <c r="AB20" t="s">
        <v>235</v>
      </c>
      <c r="AC20" s="28">
        <f t="shared" si="0"/>
        <v>0.66666666666666663</v>
      </c>
      <c r="AD20" s="28">
        <f t="shared" si="1"/>
        <v>0.7142857142857143</v>
      </c>
      <c r="AE20" s="28">
        <f t="shared" si="2"/>
        <v>1</v>
      </c>
    </row>
    <row r="21" spans="1:31" x14ac:dyDescent="0.45">
      <c r="A21" t="s">
        <v>2</v>
      </c>
      <c r="B21" t="s">
        <v>19</v>
      </c>
      <c r="D21" t="s">
        <v>235</v>
      </c>
      <c r="E21" t="s">
        <v>235</v>
      </c>
      <c r="F21" t="s">
        <v>235</v>
      </c>
      <c r="G21" t="s">
        <v>235</v>
      </c>
      <c r="H21" t="s">
        <v>235</v>
      </c>
      <c r="I21" t="s">
        <v>235</v>
      </c>
      <c r="J21" t="s">
        <v>235</v>
      </c>
      <c r="K21" t="s">
        <v>235</v>
      </c>
      <c r="L21" t="s">
        <v>235</v>
      </c>
      <c r="M21" t="s">
        <v>235</v>
      </c>
      <c r="N21" t="s">
        <v>235</v>
      </c>
      <c r="O21" t="s">
        <v>235</v>
      </c>
      <c r="P21" t="s">
        <v>235</v>
      </c>
      <c r="Q21" t="s">
        <v>235</v>
      </c>
      <c r="R21" t="s">
        <v>235</v>
      </c>
      <c r="S21" t="s">
        <v>235</v>
      </c>
      <c r="T21" t="s">
        <v>235</v>
      </c>
      <c r="U21" t="s">
        <v>235</v>
      </c>
      <c r="V21" t="s">
        <v>235</v>
      </c>
      <c r="W21" t="s">
        <v>234</v>
      </c>
      <c r="X21" t="s">
        <v>235</v>
      </c>
      <c r="Y21" t="s">
        <v>235</v>
      </c>
      <c r="Z21" t="s">
        <v>235</v>
      </c>
      <c r="AA21" t="s">
        <v>235</v>
      </c>
      <c r="AB21" t="s">
        <v>235</v>
      </c>
      <c r="AC21" s="28">
        <f t="shared" si="0"/>
        <v>1</v>
      </c>
      <c r="AD21" s="28">
        <f t="shared" si="1"/>
        <v>0.9285714285714286</v>
      </c>
      <c r="AE21" s="28">
        <f t="shared" si="2"/>
        <v>1</v>
      </c>
    </row>
    <row r="22" spans="1:31" x14ac:dyDescent="0.45">
      <c r="A22" t="s">
        <v>2</v>
      </c>
      <c r="B22" t="s">
        <v>20</v>
      </c>
      <c r="D22" t="s">
        <v>234</v>
      </c>
      <c r="E22" t="s">
        <v>235</v>
      </c>
      <c r="F22" t="s">
        <v>234</v>
      </c>
      <c r="G22" t="s">
        <v>235</v>
      </c>
      <c r="H22" t="s">
        <v>235</v>
      </c>
      <c r="I22" t="s">
        <v>235</v>
      </c>
      <c r="J22" t="s">
        <v>235</v>
      </c>
      <c r="K22" t="s">
        <v>234</v>
      </c>
      <c r="L22" t="s">
        <v>235</v>
      </c>
      <c r="M22" t="s">
        <v>235</v>
      </c>
      <c r="N22" t="s">
        <v>234</v>
      </c>
      <c r="O22" t="s">
        <v>234</v>
      </c>
      <c r="P22" t="s">
        <v>234</v>
      </c>
      <c r="Q22" t="s">
        <v>234</v>
      </c>
      <c r="R22" t="s">
        <v>235</v>
      </c>
      <c r="S22" t="s">
        <v>235</v>
      </c>
      <c r="T22" t="s">
        <v>234</v>
      </c>
      <c r="U22" t="s">
        <v>234</v>
      </c>
      <c r="V22" t="s">
        <v>234</v>
      </c>
      <c r="W22" t="s">
        <v>234</v>
      </c>
      <c r="X22" t="s">
        <v>235</v>
      </c>
      <c r="Y22" t="s">
        <v>234</v>
      </c>
      <c r="Z22" t="s">
        <v>234</v>
      </c>
      <c r="AA22" t="s">
        <v>235</v>
      </c>
      <c r="AB22" t="s">
        <v>234</v>
      </c>
      <c r="AC22" s="28">
        <f t="shared" si="0"/>
        <v>0.66666666666666663</v>
      </c>
      <c r="AD22" s="28">
        <f t="shared" si="1"/>
        <v>0.35714285714285715</v>
      </c>
      <c r="AE22" s="28">
        <f t="shared" si="2"/>
        <v>0.4</v>
      </c>
    </row>
    <row r="23" spans="1:31" x14ac:dyDescent="0.45">
      <c r="A23" t="s">
        <v>2</v>
      </c>
      <c r="B23" t="s">
        <v>21</v>
      </c>
      <c r="D23" t="s">
        <v>235</v>
      </c>
      <c r="E23" t="s">
        <v>234</v>
      </c>
      <c r="F23" t="s">
        <v>234</v>
      </c>
      <c r="G23" t="s">
        <v>234</v>
      </c>
      <c r="H23" t="s">
        <v>235</v>
      </c>
      <c r="I23" t="s">
        <v>235</v>
      </c>
      <c r="J23" t="s">
        <v>235</v>
      </c>
      <c r="K23" t="s">
        <v>235</v>
      </c>
      <c r="L23" t="s">
        <v>235</v>
      </c>
      <c r="M23" t="s">
        <v>234</v>
      </c>
      <c r="N23" t="s">
        <v>235</v>
      </c>
      <c r="O23" t="s">
        <v>235</v>
      </c>
      <c r="P23" t="s">
        <v>235</v>
      </c>
      <c r="Q23" t="s">
        <v>235</v>
      </c>
      <c r="R23" t="s">
        <v>235</v>
      </c>
      <c r="S23" t="s">
        <v>234</v>
      </c>
      <c r="T23" t="s">
        <v>235</v>
      </c>
      <c r="U23" t="s">
        <v>235</v>
      </c>
      <c r="V23" t="s">
        <v>235</v>
      </c>
      <c r="W23" t="s">
        <v>235</v>
      </c>
      <c r="X23" t="s">
        <v>235</v>
      </c>
      <c r="Y23" t="s">
        <v>235</v>
      </c>
      <c r="Z23" t="s">
        <v>234</v>
      </c>
      <c r="AA23" t="s">
        <v>235</v>
      </c>
      <c r="AB23" t="s">
        <v>234</v>
      </c>
      <c r="AC23" s="28">
        <f t="shared" si="0"/>
        <v>0.5</v>
      </c>
      <c r="AD23" s="28">
        <f t="shared" si="1"/>
        <v>0.8571428571428571</v>
      </c>
      <c r="AE23" s="28">
        <f t="shared" si="2"/>
        <v>0.6</v>
      </c>
    </row>
    <row r="24" spans="1:31" x14ac:dyDescent="0.45">
      <c r="A24" t="s">
        <v>2</v>
      </c>
      <c r="B24" t="s">
        <v>22</v>
      </c>
      <c r="D24" t="s">
        <v>235</v>
      </c>
      <c r="E24" t="s">
        <v>235</v>
      </c>
      <c r="F24" t="s">
        <v>234</v>
      </c>
      <c r="G24" t="s">
        <v>235</v>
      </c>
      <c r="H24" t="s">
        <v>235</v>
      </c>
      <c r="I24" t="s">
        <v>235</v>
      </c>
      <c r="J24" t="s">
        <v>235</v>
      </c>
      <c r="K24" t="s">
        <v>235</v>
      </c>
      <c r="L24" t="s">
        <v>235</v>
      </c>
      <c r="M24" t="s">
        <v>235</v>
      </c>
      <c r="N24" t="s">
        <v>235</v>
      </c>
      <c r="O24" t="s">
        <v>235</v>
      </c>
      <c r="P24" t="s">
        <v>235</v>
      </c>
      <c r="Q24" t="s">
        <v>235</v>
      </c>
      <c r="R24" t="s">
        <v>235</v>
      </c>
      <c r="S24" t="s">
        <v>235</v>
      </c>
      <c r="T24" t="s">
        <v>234</v>
      </c>
      <c r="U24" t="s">
        <v>234</v>
      </c>
      <c r="V24" t="s">
        <v>235</v>
      </c>
      <c r="W24" t="s">
        <v>234</v>
      </c>
      <c r="X24" t="s">
        <v>235</v>
      </c>
      <c r="Y24" t="s">
        <v>235</v>
      </c>
      <c r="Z24" t="s">
        <v>235</v>
      </c>
      <c r="AA24" t="s">
        <v>235</v>
      </c>
      <c r="AB24" t="s">
        <v>234</v>
      </c>
      <c r="AC24" s="28">
        <f t="shared" si="0"/>
        <v>0.83333333333333337</v>
      </c>
      <c r="AD24" s="28">
        <f t="shared" si="1"/>
        <v>0.7857142857142857</v>
      </c>
      <c r="AE24" s="28">
        <f t="shared" si="2"/>
        <v>0.8</v>
      </c>
    </row>
    <row r="25" spans="1:31" x14ac:dyDescent="0.45">
      <c r="A25" t="s">
        <v>2</v>
      </c>
      <c r="B25" t="s">
        <v>23</v>
      </c>
      <c r="D25" t="s">
        <v>235</v>
      </c>
      <c r="E25" t="s">
        <v>235</v>
      </c>
      <c r="F25" t="s">
        <v>235</v>
      </c>
      <c r="G25" t="s">
        <v>235</v>
      </c>
      <c r="H25" t="s">
        <v>235</v>
      </c>
      <c r="I25" t="s">
        <v>235</v>
      </c>
      <c r="J25" t="s">
        <v>235</v>
      </c>
      <c r="K25" t="s">
        <v>235</v>
      </c>
      <c r="L25" t="s">
        <v>235</v>
      </c>
      <c r="M25" t="s">
        <v>235</v>
      </c>
      <c r="N25" t="s">
        <v>235</v>
      </c>
      <c r="O25" t="s">
        <v>235</v>
      </c>
      <c r="P25" t="s">
        <v>234</v>
      </c>
      <c r="Q25" t="s">
        <v>235</v>
      </c>
      <c r="R25" t="s">
        <v>234</v>
      </c>
      <c r="S25" t="s">
        <v>234</v>
      </c>
      <c r="T25" t="s">
        <v>235</v>
      </c>
      <c r="U25" t="s">
        <v>235</v>
      </c>
      <c r="V25" t="s">
        <v>235</v>
      </c>
      <c r="W25" t="s">
        <v>234</v>
      </c>
      <c r="X25" t="s">
        <v>235</v>
      </c>
      <c r="Y25" t="s">
        <v>235</v>
      </c>
      <c r="Z25" t="s">
        <v>234</v>
      </c>
      <c r="AA25" t="s">
        <v>235</v>
      </c>
      <c r="AB25" t="s">
        <v>235</v>
      </c>
      <c r="AC25" s="28">
        <f t="shared" si="0"/>
        <v>1</v>
      </c>
      <c r="AD25" s="28">
        <f t="shared" si="1"/>
        <v>0.7142857142857143</v>
      </c>
      <c r="AE25" s="28">
        <f t="shared" si="2"/>
        <v>0.8</v>
      </c>
    </row>
    <row r="26" spans="1:31" x14ac:dyDescent="0.45">
      <c r="A26" t="s">
        <v>2</v>
      </c>
      <c r="B26" t="s">
        <v>24</v>
      </c>
      <c r="D26" t="s">
        <v>234</v>
      </c>
      <c r="E26" t="s">
        <v>235</v>
      </c>
      <c r="F26" t="s">
        <v>234</v>
      </c>
      <c r="G26" t="s">
        <v>235</v>
      </c>
      <c r="H26" t="s">
        <v>235</v>
      </c>
      <c r="I26" t="s">
        <v>235</v>
      </c>
      <c r="J26" t="s">
        <v>235</v>
      </c>
      <c r="K26" t="s">
        <v>234</v>
      </c>
      <c r="L26" t="s">
        <v>235</v>
      </c>
      <c r="M26" t="s">
        <v>234</v>
      </c>
      <c r="N26" t="s">
        <v>235</v>
      </c>
      <c r="O26" t="s">
        <v>235</v>
      </c>
      <c r="P26" t="s">
        <v>234</v>
      </c>
      <c r="Q26" t="s">
        <v>234</v>
      </c>
      <c r="R26" t="s">
        <v>234</v>
      </c>
      <c r="S26" t="s">
        <v>234</v>
      </c>
      <c r="T26" t="s">
        <v>234</v>
      </c>
      <c r="U26" t="s">
        <v>234</v>
      </c>
      <c r="V26" t="s">
        <v>235</v>
      </c>
      <c r="W26" t="s">
        <v>234</v>
      </c>
      <c r="X26" t="s">
        <v>234</v>
      </c>
      <c r="Y26" t="s">
        <v>234</v>
      </c>
      <c r="Z26" t="s">
        <v>234</v>
      </c>
      <c r="AA26" t="s">
        <v>234</v>
      </c>
      <c r="AB26" t="s">
        <v>234</v>
      </c>
      <c r="AC26" s="28">
        <f t="shared" si="0"/>
        <v>0.66666666666666663</v>
      </c>
      <c r="AD26" s="28">
        <f t="shared" si="1"/>
        <v>0.35714285714285715</v>
      </c>
      <c r="AE26" s="28">
        <f t="shared" si="2"/>
        <v>0</v>
      </c>
    </row>
    <row r="27" spans="1:31" x14ac:dyDescent="0.45">
      <c r="A27" t="s">
        <v>2</v>
      </c>
      <c r="B27" t="s">
        <v>25</v>
      </c>
      <c r="D27" t="s">
        <v>235</v>
      </c>
      <c r="E27" t="s">
        <v>235</v>
      </c>
      <c r="F27" t="s">
        <v>234</v>
      </c>
      <c r="G27" t="s">
        <v>235</v>
      </c>
      <c r="H27" t="s">
        <v>235</v>
      </c>
      <c r="I27" t="s">
        <v>235</v>
      </c>
      <c r="J27" t="s">
        <v>235</v>
      </c>
      <c r="K27" t="s">
        <v>235</v>
      </c>
      <c r="L27" t="s">
        <v>235</v>
      </c>
      <c r="M27" t="s">
        <v>235</v>
      </c>
      <c r="N27" t="s">
        <v>235</v>
      </c>
      <c r="O27" t="s">
        <v>235</v>
      </c>
      <c r="P27" t="s">
        <v>235</v>
      </c>
      <c r="Q27" t="s">
        <v>235</v>
      </c>
      <c r="R27" t="s">
        <v>235</v>
      </c>
      <c r="S27" t="s">
        <v>235</v>
      </c>
      <c r="T27" t="s">
        <v>235</v>
      </c>
      <c r="U27" t="s">
        <v>235</v>
      </c>
      <c r="V27" t="s">
        <v>235</v>
      </c>
      <c r="W27" t="s">
        <v>235</v>
      </c>
      <c r="X27" t="s">
        <v>235</v>
      </c>
      <c r="Y27" t="s">
        <v>235</v>
      </c>
      <c r="Z27" t="s">
        <v>235</v>
      </c>
      <c r="AA27" t="s">
        <v>235</v>
      </c>
      <c r="AB27" t="s">
        <v>235</v>
      </c>
      <c r="AC27" s="28">
        <f t="shared" si="0"/>
        <v>0.83333333333333337</v>
      </c>
      <c r="AD27" s="28">
        <f t="shared" si="1"/>
        <v>1</v>
      </c>
      <c r="AE27" s="28">
        <f t="shared" si="2"/>
        <v>1</v>
      </c>
    </row>
    <row r="28" spans="1:31" x14ac:dyDescent="0.45">
      <c r="A28" t="s">
        <v>2</v>
      </c>
      <c r="B28" t="s">
        <v>26</v>
      </c>
      <c r="D28" t="s">
        <v>235</v>
      </c>
      <c r="E28" t="s">
        <v>235</v>
      </c>
      <c r="F28" t="s">
        <v>234</v>
      </c>
      <c r="G28" t="s">
        <v>234</v>
      </c>
      <c r="H28" t="s">
        <v>235</v>
      </c>
      <c r="I28" t="s">
        <v>235</v>
      </c>
      <c r="J28" t="s">
        <v>235</v>
      </c>
      <c r="K28" t="s">
        <v>235</v>
      </c>
      <c r="L28" t="s">
        <v>235</v>
      </c>
      <c r="M28" t="s">
        <v>234</v>
      </c>
      <c r="N28" t="s">
        <v>234</v>
      </c>
      <c r="O28" t="s">
        <v>235</v>
      </c>
      <c r="P28" t="s">
        <v>235</v>
      </c>
      <c r="Q28" t="s">
        <v>235</v>
      </c>
      <c r="R28" t="s">
        <v>235</v>
      </c>
      <c r="S28" t="s">
        <v>235</v>
      </c>
      <c r="T28" t="s">
        <v>235</v>
      </c>
      <c r="U28" t="s">
        <v>234</v>
      </c>
      <c r="V28" t="s">
        <v>235</v>
      </c>
      <c r="W28" t="s">
        <v>234</v>
      </c>
      <c r="X28" t="s">
        <v>234</v>
      </c>
      <c r="Y28" t="s">
        <v>235</v>
      </c>
      <c r="Z28" t="s">
        <v>234</v>
      </c>
      <c r="AA28" t="s">
        <v>235</v>
      </c>
      <c r="AB28" t="s">
        <v>234</v>
      </c>
      <c r="AC28" s="28">
        <f t="shared" si="0"/>
        <v>0.66666666666666663</v>
      </c>
      <c r="AD28" s="28">
        <f t="shared" si="1"/>
        <v>0.7142857142857143</v>
      </c>
      <c r="AE28" s="28">
        <f t="shared" si="2"/>
        <v>0.4</v>
      </c>
    </row>
    <row r="29" spans="1:31" x14ac:dyDescent="0.45">
      <c r="A29" t="s">
        <v>2</v>
      </c>
      <c r="B29" t="s">
        <v>27</v>
      </c>
      <c r="D29" t="s">
        <v>235</v>
      </c>
      <c r="E29" t="s">
        <v>235</v>
      </c>
      <c r="F29" t="s">
        <v>234</v>
      </c>
      <c r="G29" t="s">
        <v>235</v>
      </c>
      <c r="H29" t="s">
        <v>235</v>
      </c>
      <c r="I29" t="s">
        <v>235</v>
      </c>
      <c r="J29" t="s">
        <v>235</v>
      </c>
      <c r="K29" t="s">
        <v>235</v>
      </c>
      <c r="L29" t="s">
        <v>235</v>
      </c>
      <c r="M29" t="s">
        <v>235</v>
      </c>
      <c r="N29" t="s">
        <v>235</v>
      </c>
      <c r="O29" t="s">
        <v>235</v>
      </c>
      <c r="P29" t="s">
        <v>235</v>
      </c>
      <c r="Q29" t="s">
        <v>235</v>
      </c>
      <c r="R29" t="s">
        <v>234</v>
      </c>
      <c r="S29" t="s">
        <v>235</v>
      </c>
      <c r="T29" t="s">
        <v>235</v>
      </c>
      <c r="U29" t="s">
        <v>234</v>
      </c>
      <c r="V29" t="s">
        <v>235</v>
      </c>
      <c r="W29" t="s">
        <v>235</v>
      </c>
      <c r="X29" t="s">
        <v>235</v>
      </c>
      <c r="Y29" t="s">
        <v>235</v>
      </c>
      <c r="Z29" t="s">
        <v>235</v>
      </c>
      <c r="AA29" t="s">
        <v>235</v>
      </c>
      <c r="AB29" t="s">
        <v>235</v>
      </c>
      <c r="AC29" s="28">
        <f t="shared" si="0"/>
        <v>0.83333333333333337</v>
      </c>
      <c r="AD29" s="28">
        <f t="shared" si="1"/>
        <v>0.8571428571428571</v>
      </c>
      <c r="AE29" s="28">
        <f t="shared" si="2"/>
        <v>1</v>
      </c>
    </row>
    <row r="30" spans="1:31" x14ac:dyDescent="0.45">
      <c r="A30" t="s">
        <v>2</v>
      </c>
      <c r="B30" t="s">
        <v>28</v>
      </c>
      <c r="D30" t="s">
        <v>234</v>
      </c>
      <c r="E30" t="s">
        <v>235</v>
      </c>
      <c r="F30" t="s">
        <v>235</v>
      </c>
      <c r="G30" t="s">
        <v>235</v>
      </c>
      <c r="H30" t="s">
        <v>235</v>
      </c>
      <c r="I30" t="s">
        <v>235</v>
      </c>
      <c r="J30" t="s">
        <v>235</v>
      </c>
      <c r="K30" t="s">
        <v>235</v>
      </c>
      <c r="L30" t="s">
        <v>235</v>
      </c>
      <c r="M30" t="s">
        <v>234</v>
      </c>
      <c r="N30" t="s">
        <v>235</v>
      </c>
      <c r="O30" t="s">
        <v>235</v>
      </c>
      <c r="P30" t="s">
        <v>235</v>
      </c>
      <c r="Q30" t="s">
        <v>234</v>
      </c>
      <c r="R30" t="s">
        <v>234</v>
      </c>
      <c r="S30" t="s">
        <v>235</v>
      </c>
      <c r="T30" t="s">
        <v>235</v>
      </c>
      <c r="U30" t="s">
        <v>234</v>
      </c>
      <c r="V30" t="s">
        <v>234</v>
      </c>
      <c r="W30" t="s">
        <v>235</v>
      </c>
      <c r="X30" t="s">
        <v>235</v>
      </c>
      <c r="Y30" t="s">
        <v>235</v>
      </c>
      <c r="Z30" t="s">
        <v>234</v>
      </c>
      <c r="AA30" t="s">
        <v>235</v>
      </c>
      <c r="AB30" t="s">
        <v>234</v>
      </c>
      <c r="AC30" s="28">
        <f t="shared" si="0"/>
        <v>0.83333333333333337</v>
      </c>
      <c r="AD30" s="28">
        <f t="shared" si="1"/>
        <v>0.6428571428571429</v>
      </c>
      <c r="AE30" s="28">
        <f t="shared" si="2"/>
        <v>0.6</v>
      </c>
    </row>
    <row r="31" spans="1:31" x14ac:dyDescent="0.45">
      <c r="A31" t="s">
        <v>2</v>
      </c>
      <c r="B31" t="s">
        <v>29</v>
      </c>
      <c r="D31" t="s">
        <v>234</v>
      </c>
      <c r="E31" t="s">
        <v>235</v>
      </c>
      <c r="F31" t="s">
        <v>234</v>
      </c>
      <c r="G31" t="s">
        <v>235</v>
      </c>
      <c r="H31" t="s">
        <v>235</v>
      </c>
      <c r="I31" t="s">
        <v>234</v>
      </c>
      <c r="J31" t="s">
        <v>235</v>
      </c>
      <c r="K31" t="s">
        <v>234</v>
      </c>
      <c r="L31" t="s">
        <v>235</v>
      </c>
      <c r="M31" t="s">
        <v>235</v>
      </c>
      <c r="N31" t="s">
        <v>234</v>
      </c>
      <c r="O31" t="s">
        <v>235</v>
      </c>
      <c r="P31" t="s">
        <v>235</v>
      </c>
      <c r="Q31" t="s">
        <v>235</v>
      </c>
      <c r="R31" t="s">
        <v>234</v>
      </c>
      <c r="S31" t="s">
        <v>234</v>
      </c>
      <c r="T31" t="s">
        <v>235</v>
      </c>
      <c r="U31" t="s">
        <v>234</v>
      </c>
      <c r="V31" t="s">
        <v>235</v>
      </c>
      <c r="W31" t="s">
        <v>234</v>
      </c>
      <c r="X31" t="s">
        <v>235</v>
      </c>
      <c r="Y31" t="s">
        <v>234</v>
      </c>
      <c r="Z31" t="s">
        <v>234</v>
      </c>
      <c r="AA31" t="s">
        <v>235</v>
      </c>
      <c r="AB31" t="s">
        <v>235</v>
      </c>
      <c r="AC31" s="28">
        <f t="shared" si="0"/>
        <v>0.5</v>
      </c>
      <c r="AD31" s="28">
        <f t="shared" si="1"/>
        <v>0.5714285714285714</v>
      </c>
      <c r="AE31" s="28">
        <f t="shared" si="2"/>
        <v>0.6</v>
      </c>
    </row>
    <row r="32" spans="1:31" x14ac:dyDescent="0.45">
      <c r="A32" t="s">
        <v>2</v>
      </c>
      <c r="B32" t="s">
        <v>30</v>
      </c>
      <c r="D32" t="s">
        <v>234</v>
      </c>
      <c r="E32" t="s">
        <v>235</v>
      </c>
      <c r="F32" t="s">
        <v>235</v>
      </c>
      <c r="G32" t="s">
        <v>234</v>
      </c>
      <c r="H32" t="s">
        <v>235</v>
      </c>
      <c r="I32" t="s">
        <v>235</v>
      </c>
      <c r="J32" t="s">
        <v>235</v>
      </c>
      <c r="K32" t="s">
        <v>235</v>
      </c>
      <c r="L32" t="s">
        <v>235</v>
      </c>
      <c r="M32" t="s">
        <v>235</v>
      </c>
      <c r="N32" t="s">
        <v>235</v>
      </c>
      <c r="O32" t="s">
        <v>235</v>
      </c>
      <c r="P32" t="s">
        <v>235</v>
      </c>
      <c r="Q32" t="s">
        <v>235</v>
      </c>
      <c r="R32" t="s">
        <v>234</v>
      </c>
      <c r="S32" t="s">
        <v>234</v>
      </c>
      <c r="T32" t="s">
        <v>235</v>
      </c>
      <c r="U32" t="s">
        <v>234</v>
      </c>
      <c r="V32" t="s">
        <v>234</v>
      </c>
      <c r="W32" t="s">
        <v>235</v>
      </c>
      <c r="X32" t="s">
        <v>235</v>
      </c>
      <c r="Y32" t="s">
        <v>235</v>
      </c>
      <c r="Z32" t="s">
        <v>234</v>
      </c>
      <c r="AA32" t="s">
        <v>235</v>
      </c>
      <c r="AB32" t="s">
        <v>235</v>
      </c>
      <c r="AC32" s="28">
        <f t="shared" si="0"/>
        <v>0.66666666666666663</v>
      </c>
      <c r="AD32" s="28">
        <f t="shared" si="1"/>
        <v>0.7142857142857143</v>
      </c>
      <c r="AE32" s="28">
        <f t="shared" si="2"/>
        <v>0.8</v>
      </c>
    </row>
    <row r="33" spans="1:31" x14ac:dyDescent="0.45">
      <c r="A33" t="s">
        <v>2</v>
      </c>
      <c r="B33" t="s">
        <v>31</v>
      </c>
      <c r="D33" t="s">
        <v>235</v>
      </c>
      <c r="E33" t="s">
        <v>235</v>
      </c>
      <c r="F33" t="s">
        <v>235</v>
      </c>
      <c r="G33" t="s">
        <v>235</v>
      </c>
      <c r="H33" t="s">
        <v>235</v>
      </c>
      <c r="I33" t="s">
        <v>234</v>
      </c>
      <c r="J33" t="s">
        <v>235</v>
      </c>
      <c r="K33" t="s">
        <v>235</v>
      </c>
      <c r="L33" t="s">
        <v>235</v>
      </c>
      <c r="M33" t="s">
        <v>235</v>
      </c>
      <c r="N33" t="s">
        <v>234</v>
      </c>
      <c r="O33" t="s">
        <v>235</v>
      </c>
      <c r="P33" t="s">
        <v>235</v>
      </c>
      <c r="Q33" t="s">
        <v>235</v>
      </c>
      <c r="R33" t="s">
        <v>234</v>
      </c>
      <c r="S33" t="s">
        <v>235</v>
      </c>
      <c r="T33" t="s">
        <v>235</v>
      </c>
      <c r="U33" t="s">
        <v>234</v>
      </c>
      <c r="V33" t="s">
        <v>235</v>
      </c>
      <c r="W33" t="s">
        <v>235</v>
      </c>
      <c r="X33" t="s">
        <v>235</v>
      </c>
      <c r="Y33" t="s">
        <v>235</v>
      </c>
      <c r="Z33" t="s">
        <v>235</v>
      </c>
      <c r="AA33" t="s">
        <v>235</v>
      </c>
      <c r="AB33" t="s">
        <v>235</v>
      </c>
      <c r="AC33" s="28">
        <f t="shared" si="0"/>
        <v>0.83333333333333337</v>
      </c>
      <c r="AD33" s="28">
        <f t="shared" si="1"/>
        <v>0.7857142857142857</v>
      </c>
      <c r="AE33" s="28">
        <f t="shared" si="2"/>
        <v>1</v>
      </c>
    </row>
    <row r="34" spans="1:31" x14ac:dyDescent="0.45">
      <c r="A34" t="s">
        <v>2</v>
      </c>
      <c r="B34" t="s">
        <v>32</v>
      </c>
      <c r="D34" t="s">
        <v>235</v>
      </c>
      <c r="E34" t="s">
        <v>235</v>
      </c>
      <c r="F34" t="s">
        <v>234</v>
      </c>
      <c r="G34" t="s">
        <v>235</v>
      </c>
      <c r="H34" t="s">
        <v>235</v>
      </c>
      <c r="I34" t="s">
        <v>235</v>
      </c>
      <c r="J34" t="s">
        <v>235</v>
      </c>
      <c r="K34" t="s">
        <v>235</v>
      </c>
      <c r="L34" t="s">
        <v>235</v>
      </c>
      <c r="M34" t="s">
        <v>235</v>
      </c>
      <c r="N34" t="s">
        <v>235</v>
      </c>
      <c r="O34" t="s">
        <v>235</v>
      </c>
      <c r="P34" t="s">
        <v>235</v>
      </c>
      <c r="Q34" t="s">
        <v>235</v>
      </c>
      <c r="R34" t="s">
        <v>234</v>
      </c>
      <c r="S34" t="s">
        <v>235</v>
      </c>
      <c r="T34" t="s">
        <v>235</v>
      </c>
      <c r="U34" t="s">
        <v>235</v>
      </c>
      <c r="V34" t="s">
        <v>235</v>
      </c>
      <c r="W34" t="s">
        <v>235</v>
      </c>
      <c r="X34" t="s">
        <v>235</v>
      </c>
      <c r="Y34" t="s">
        <v>235</v>
      </c>
      <c r="Z34" t="s">
        <v>235</v>
      </c>
      <c r="AA34" t="s">
        <v>235</v>
      </c>
      <c r="AB34" t="s">
        <v>234</v>
      </c>
      <c r="AC34" s="28">
        <f t="shared" si="0"/>
        <v>0.83333333333333337</v>
      </c>
      <c r="AD34" s="28">
        <f t="shared" si="1"/>
        <v>0.9285714285714286</v>
      </c>
      <c r="AE34" s="28">
        <f t="shared" si="2"/>
        <v>0.8</v>
      </c>
    </row>
    <row r="35" spans="1:31" x14ac:dyDescent="0.45">
      <c r="A35" t="s">
        <v>2</v>
      </c>
      <c r="B35" t="s">
        <v>33</v>
      </c>
      <c r="D35" t="s">
        <v>234</v>
      </c>
      <c r="E35" t="s">
        <v>234</v>
      </c>
      <c r="F35" t="s">
        <v>234</v>
      </c>
      <c r="G35" t="s">
        <v>235</v>
      </c>
      <c r="H35" t="s">
        <v>235</v>
      </c>
      <c r="I35" t="s">
        <v>235</v>
      </c>
      <c r="J35" t="s">
        <v>235</v>
      </c>
      <c r="K35" t="s">
        <v>235</v>
      </c>
      <c r="L35" t="s">
        <v>235</v>
      </c>
      <c r="M35" t="s">
        <v>235</v>
      </c>
      <c r="N35" t="s">
        <v>235</v>
      </c>
      <c r="O35" t="s">
        <v>235</v>
      </c>
      <c r="P35" t="s">
        <v>235</v>
      </c>
      <c r="Q35" t="s">
        <v>235</v>
      </c>
      <c r="R35" t="s">
        <v>234</v>
      </c>
      <c r="S35" t="s">
        <v>234</v>
      </c>
      <c r="T35" t="s">
        <v>235</v>
      </c>
      <c r="U35" t="s">
        <v>234</v>
      </c>
      <c r="V35" t="s">
        <v>235</v>
      </c>
      <c r="W35" t="s">
        <v>234</v>
      </c>
      <c r="X35" t="s">
        <v>235</v>
      </c>
      <c r="Y35" t="s">
        <v>235</v>
      </c>
      <c r="Z35" t="s">
        <v>235</v>
      </c>
      <c r="AA35" t="s">
        <v>235</v>
      </c>
      <c r="AB35" t="s">
        <v>235</v>
      </c>
      <c r="AC35" s="28">
        <f t="shared" si="0"/>
        <v>0.5</v>
      </c>
      <c r="AD35" s="28">
        <f t="shared" si="1"/>
        <v>0.7142857142857143</v>
      </c>
      <c r="AE35" s="28">
        <f t="shared" si="2"/>
        <v>1</v>
      </c>
    </row>
    <row r="36" spans="1:31" x14ac:dyDescent="0.45">
      <c r="A36" t="s">
        <v>2</v>
      </c>
      <c r="B36" t="s">
        <v>34</v>
      </c>
      <c r="D36" t="s">
        <v>235</v>
      </c>
      <c r="E36" t="s">
        <v>234</v>
      </c>
      <c r="F36" t="s">
        <v>235</v>
      </c>
      <c r="G36" t="s">
        <v>235</v>
      </c>
      <c r="H36" t="s">
        <v>235</v>
      </c>
      <c r="I36" t="s">
        <v>235</v>
      </c>
      <c r="J36" t="s">
        <v>235</v>
      </c>
      <c r="K36" t="s">
        <v>235</v>
      </c>
      <c r="L36" t="s">
        <v>235</v>
      </c>
      <c r="M36" t="s">
        <v>235</v>
      </c>
      <c r="N36" t="s">
        <v>235</v>
      </c>
      <c r="O36" t="s">
        <v>235</v>
      </c>
      <c r="P36" t="s">
        <v>234</v>
      </c>
      <c r="Q36" t="s">
        <v>235</v>
      </c>
      <c r="R36" t="s">
        <v>235</v>
      </c>
      <c r="S36" t="s">
        <v>235</v>
      </c>
      <c r="T36" t="s">
        <v>235</v>
      </c>
      <c r="U36" t="s">
        <v>235</v>
      </c>
      <c r="V36" t="s">
        <v>235</v>
      </c>
      <c r="W36" t="s">
        <v>235</v>
      </c>
      <c r="X36" t="s">
        <v>235</v>
      </c>
      <c r="Y36" t="s">
        <v>235</v>
      </c>
      <c r="Z36" t="s">
        <v>234</v>
      </c>
      <c r="AA36" t="s">
        <v>235</v>
      </c>
      <c r="AB36" t="s">
        <v>235</v>
      </c>
      <c r="AC36" s="28">
        <f t="shared" si="0"/>
        <v>0.83333333333333337</v>
      </c>
      <c r="AD36" s="28">
        <f t="shared" si="1"/>
        <v>0.9285714285714286</v>
      </c>
      <c r="AE36" s="28">
        <f t="shared" si="2"/>
        <v>0.8</v>
      </c>
    </row>
    <row r="37" spans="1:31" x14ac:dyDescent="0.45">
      <c r="A37" t="s">
        <v>2</v>
      </c>
      <c r="B37" t="s">
        <v>35</v>
      </c>
      <c r="D37" t="s">
        <v>235</v>
      </c>
      <c r="E37" t="s">
        <v>234</v>
      </c>
      <c r="F37" t="s">
        <v>235</v>
      </c>
      <c r="G37" t="s">
        <v>235</v>
      </c>
      <c r="H37" t="s">
        <v>235</v>
      </c>
      <c r="I37" t="s">
        <v>235</v>
      </c>
      <c r="J37" t="s">
        <v>235</v>
      </c>
      <c r="K37" t="s">
        <v>235</v>
      </c>
      <c r="L37" t="s">
        <v>235</v>
      </c>
      <c r="M37" t="s">
        <v>235</v>
      </c>
      <c r="N37" t="s">
        <v>235</v>
      </c>
      <c r="O37" t="s">
        <v>235</v>
      </c>
      <c r="P37" t="s">
        <v>235</v>
      </c>
      <c r="Q37" t="s">
        <v>235</v>
      </c>
      <c r="R37" t="s">
        <v>235</v>
      </c>
      <c r="S37" t="s">
        <v>235</v>
      </c>
      <c r="T37" t="s">
        <v>235</v>
      </c>
      <c r="U37" t="s">
        <v>235</v>
      </c>
      <c r="V37" t="s">
        <v>235</v>
      </c>
      <c r="W37" t="s">
        <v>234</v>
      </c>
      <c r="X37" t="s">
        <v>235</v>
      </c>
      <c r="Y37" t="s">
        <v>234</v>
      </c>
      <c r="Z37" t="s">
        <v>234</v>
      </c>
      <c r="AA37" t="s">
        <v>235</v>
      </c>
      <c r="AB37" t="s">
        <v>235</v>
      </c>
      <c r="AC37" s="28">
        <f t="shared" si="0"/>
        <v>0.83333333333333337</v>
      </c>
      <c r="AD37" s="28">
        <f t="shared" si="1"/>
        <v>0.9285714285714286</v>
      </c>
      <c r="AE37" s="28">
        <f t="shared" si="2"/>
        <v>0.6</v>
      </c>
    </row>
    <row r="38" spans="1:31" x14ac:dyDescent="0.45">
      <c r="A38" t="s">
        <v>2</v>
      </c>
      <c r="B38" t="s">
        <v>36</v>
      </c>
      <c r="D38" t="s">
        <v>235</v>
      </c>
      <c r="E38" t="s">
        <v>235</v>
      </c>
      <c r="F38" t="s">
        <v>234</v>
      </c>
      <c r="G38" t="s">
        <v>235</v>
      </c>
      <c r="H38" t="s">
        <v>235</v>
      </c>
      <c r="I38" t="s">
        <v>235</v>
      </c>
      <c r="J38" t="s">
        <v>235</v>
      </c>
      <c r="K38" t="s">
        <v>235</v>
      </c>
      <c r="L38" t="s">
        <v>235</v>
      </c>
      <c r="M38" t="s">
        <v>235</v>
      </c>
      <c r="N38" t="s">
        <v>235</v>
      </c>
      <c r="O38" t="s">
        <v>235</v>
      </c>
      <c r="P38" t="s">
        <v>235</v>
      </c>
      <c r="Q38" t="s">
        <v>235</v>
      </c>
      <c r="R38" t="s">
        <v>234</v>
      </c>
      <c r="S38" t="s">
        <v>234</v>
      </c>
      <c r="T38" t="s">
        <v>235</v>
      </c>
      <c r="U38" t="s">
        <v>235</v>
      </c>
      <c r="V38" t="s">
        <v>235</v>
      </c>
      <c r="W38" t="s">
        <v>234</v>
      </c>
      <c r="X38" t="s">
        <v>235</v>
      </c>
      <c r="Y38" t="s">
        <v>235</v>
      </c>
      <c r="Z38" t="s">
        <v>234</v>
      </c>
      <c r="AA38" t="s">
        <v>235</v>
      </c>
      <c r="AB38" t="s">
        <v>235</v>
      </c>
      <c r="AC38" s="28">
        <f t="shared" si="0"/>
        <v>0.83333333333333337</v>
      </c>
      <c r="AD38" s="28">
        <f t="shared" si="1"/>
        <v>0.7857142857142857</v>
      </c>
      <c r="AE38" s="28">
        <f t="shared" si="2"/>
        <v>0.8</v>
      </c>
    </row>
    <row r="39" spans="1:31" x14ac:dyDescent="0.45">
      <c r="A39" t="s">
        <v>2</v>
      </c>
      <c r="B39" t="s">
        <v>37</v>
      </c>
      <c r="D39" t="s">
        <v>234</v>
      </c>
      <c r="E39" t="s">
        <v>235</v>
      </c>
      <c r="F39" t="s">
        <v>235</v>
      </c>
      <c r="G39" t="s">
        <v>235</v>
      </c>
      <c r="H39" t="s">
        <v>235</v>
      </c>
      <c r="I39" t="s">
        <v>235</v>
      </c>
      <c r="J39" t="s">
        <v>235</v>
      </c>
      <c r="K39" t="s">
        <v>235</v>
      </c>
      <c r="L39" t="s">
        <v>235</v>
      </c>
      <c r="M39" t="s">
        <v>235</v>
      </c>
      <c r="N39" t="s">
        <v>235</v>
      </c>
      <c r="O39" t="s">
        <v>235</v>
      </c>
      <c r="P39" t="s">
        <v>235</v>
      </c>
      <c r="Q39" t="s">
        <v>235</v>
      </c>
      <c r="R39" t="s">
        <v>234</v>
      </c>
      <c r="S39" t="s">
        <v>234</v>
      </c>
      <c r="T39" t="s">
        <v>235</v>
      </c>
      <c r="U39" t="s">
        <v>234</v>
      </c>
      <c r="V39" t="s">
        <v>235</v>
      </c>
      <c r="W39" t="s">
        <v>235</v>
      </c>
      <c r="X39" t="s">
        <v>235</v>
      </c>
      <c r="Y39" t="s">
        <v>235</v>
      </c>
      <c r="Z39" t="s">
        <v>234</v>
      </c>
      <c r="AA39" t="s">
        <v>235</v>
      </c>
      <c r="AB39" t="s">
        <v>235</v>
      </c>
      <c r="AC39" s="28">
        <f t="shared" si="0"/>
        <v>0.83333333333333337</v>
      </c>
      <c r="AD39" s="28">
        <f t="shared" si="1"/>
        <v>0.7857142857142857</v>
      </c>
      <c r="AE39" s="28">
        <f t="shared" si="2"/>
        <v>0.8</v>
      </c>
    </row>
    <row r="40" spans="1:31" x14ac:dyDescent="0.45">
      <c r="A40" t="s">
        <v>2</v>
      </c>
      <c r="B40" t="s">
        <v>38</v>
      </c>
      <c r="D40" t="s">
        <v>235</v>
      </c>
      <c r="E40" t="s">
        <v>235</v>
      </c>
      <c r="F40" t="s">
        <v>234</v>
      </c>
      <c r="G40" t="s">
        <v>235</v>
      </c>
      <c r="H40" t="s">
        <v>235</v>
      </c>
      <c r="I40" t="s">
        <v>235</v>
      </c>
      <c r="J40" t="s">
        <v>235</v>
      </c>
      <c r="K40" t="s">
        <v>235</v>
      </c>
      <c r="L40" t="s">
        <v>235</v>
      </c>
      <c r="M40" t="s">
        <v>235</v>
      </c>
      <c r="N40" t="s">
        <v>235</v>
      </c>
      <c r="O40" t="s">
        <v>235</v>
      </c>
      <c r="P40" t="s">
        <v>235</v>
      </c>
      <c r="Q40" t="s">
        <v>235</v>
      </c>
      <c r="R40" t="s">
        <v>234</v>
      </c>
      <c r="S40" t="s">
        <v>234</v>
      </c>
      <c r="T40" t="s">
        <v>234</v>
      </c>
      <c r="U40" t="s">
        <v>235</v>
      </c>
      <c r="V40" t="s">
        <v>235</v>
      </c>
      <c r="W40" t="s">
        <v>235</v>
      </c>
      <c r="X40" t="s">
        <v>234</v>
      </c>
      <c r="Y40" t="s">
        <v>235</v>
      </c>
      <c r="Z40" t="s">
        <v>235</v>
      </c>
      <c r="AA40" t="s">
        <v>235</v>
      </c>
      <c r="AB40" t="s">
        <v>235</v>
      </c>
      <c r="AC40" s="28">
        <f t="shared" si="0"/>
        <v>0.83333333333333337</v>
      </c>
      <c r="AD40" s="28">
        <f t="shared" si="1"/>
        <v>0.7857142857142857</v>
      </c>
      <c r="AE40" s="28">
        <f t="shared" si="2"/>
        <v>0.8</v>
      </c>
    </row>
    <row r="41" spans="1:31" x14ac:dyDescent="0.45">
      <c r="A41" t="s">
        <v>2</v>
      </c>
      <c r="B41" t="s">
        <v>39</v>
      </c>
      <c r="D41" t="s">
        <v>235</v>
      </c>
      <c r="E41" t="s">
        <v>234</v>
      </c>
      <c r="F41" t="s">
        <v>234</v>
      </c>
      <c r="G41" t="s">
        <v>234</v>
      </c>
      <c r="H41" t="s">
        <v>235</v>
      </c>
      <c r="I41" t="s">
        <v>235</v>
      </c>
      <c r="J41" t="s">
        <v>235</v>
      </c>
      <c r="K41" t="s">
        <v>235</v>
      </c>
      <c r="L41" t="s">
        <v>234</v>
      </c>
      <c r="M41" t="s">
        <v>235</v>
      </c>
      <c r="N41" t="s">
        <v>235</v>
      </c>
      <c r="O41" t="s">
        <v>235</v>
      </c>
      <c r="P41" t="s">
        <v>235</v>
      </c>
      <c r="Q41" t="s">
        <v>235</v>
      </c>
      <c r="R41" t="s">
        <v>235</v>
      </c>
      <c r="S41" t="s">
        <v>235</v>
      </c>
      <c r="T41" t="s">
        <v>235</v>
      </c>
      <c r="U41" t="s">
        <v>234</v>
      </c>
      <c r="V41" t="s">
        <v>234</v>
      </c>
      <c r="W41" t="s">
        <v>234</v>
      </c>
      <c r="X41" t="s">
        <v>235</v>
      </c>
      <c r="Y41" t="s">
        <v>235</v>
      </c>
      <c r="Z41" t="s">
        <v>234</v>
      </c>
      <c r="AA41" t="s">
        <v>235</v>
      </c>
      <c r="AB41" t="s">
        <v>235</v>
      </c>
      <c r="AC41" s="28">
        <f t="shared" si="0"/>
        <v>0.5</v>
      </c>
      <c r="AD41" s="28">
        <f t="shared" si="1"/>
        <v>0.7142857142857143</v>
      </c>
      <c r="AE41" s="28">
        <f t="shared" si="2"/>
        <v>0.8</v>
      </c>
    </row>
    <row r="42" spans="1:31" x14ac:dyDescent="0.45">
      <c r="A42" t="s">
        <v>2</v>
      </c>
      <c r="B42" t="s">
        <v>40</v>
      </c>
      <c r="D42" t="s">
        <v>234</v>
      </c>
      <c r="E42" t="s">
        <v>235</v>
      </c>
      <c r="F42" t="s">
        <v>235</v>
      </c>
      <c r="G42" t="s">
        <v>235</v>
      </c>
      <c r="H42" t="s">
        <v>235</v>
      </c>
      <c r="I42" t="s">
        <v>235</v>
      </c>
      <c r="J42" t="s">
        <v>235</v>
      </c>
      <c r="K42" t="s">
        <v>235</v>
      </c>
      <c r="L42" t="s">
        <v>235</v>
      </c>
      <c r="M42" t="s">
        <v>235</v>
      </c>
      <c r="N42" t="s">
        <v>235</v>
      </c>
      <c r="O42" t="s">
        <v>235</v>
      </c>
      <c r="P42" t="s">
        <v>235</v>
      </c>
      <c r="Q42" t="s">
        <v>235</v>
      </c>
      <c r="R42" t="s">
        <v>234</v>
      </c>
      <c r="S42" t="s">
        <v>234</v>
      </c>
      <c r="T42" t="s">
        <v>235</v>
      </c>
      <c r="U42" t="s">
        <v>235</v>
      </c>
      <c r="V42" t="s">
        <v>234</v>
      </c>
      <c r="W42" t="s">
        <v>235</v>
      </c>
      <c r="X42" t="s">
        <v>235</v>
      </c>
      <c r="Y42" t="s">
        <v>235</v>
      </c>
      <c r="Z42" t="s">
        <v>234</v>
      </c>
      <c r="AA42" t="s">
        <v>235</v>
      </c>
      <c r="AB42" t="s">
        <v>235</v>
      </c>
      <c r="AC42" s="28">
        <f t="shared" si="0"/>
        <v>0.83333333333333337</v>
      </c>
      <c r="AD42" s="28">
        <f t="shared" si="1"/>
        <v>0.7857142857142857</v>
      </c>
      <c r="AE42" s="28">
        <f t="shared" si="2"/>
        <v>0.8</v>
      </c>
    </row>
    <row r="43" spans="1:31" x14ac:dyDescent="0.45">
      <c r="A43" t="s">
        <v>2</v>
      </c>
      <c r="B43" t="s">
        <v>41</v>
      </c>
      <c r="D43" t="s">
        <v>234</v>
      </c>
      <c r="E43" t="s">
        <v>234</v>
      </c>
      <c r="F43" t="s">
        <v>234</v>
      </c>
      <c r="G43" t="s">
        <v>235</v>
      </c>
      <c r="H43" t="s">
        <v>235</v>
      </c>
      <c r="I43" t="s">
        <v>235</v>
      </c>
      <c r="J43" t="s">
        <v>235</v>
      </c>
      <c r="K43" t="s">
        <v>235</v>
      </c>
      <c r="L43" t="s">
        <v>235</v>
      </c>
      <c r="M43" t="s">
        <v>235</v>
      </c>
      <c r="N43" t="s">
        <v>235</v>
      </c>
      <c r="O43" t="s">
        <v>235</v>
      </c>
      <c r="P43" t="s">
        <v>234</v>
      </c>
      <c r="Q43" t="s">
        <v>235</v>
      </c>
      <c r="R43" t="s">
        <v>235</v>
      </c>
      <c r="S43" t="s">
        <v>234</v>
      </c>
      <c r="T43" t="s">
        <v>235</v>
      </c>
      <c r="U43" t="s">
        <v>235</v>
      </c>
      <c r="V43" t="s">
        <v>234</v>
      </c>
      <c r="W43" t="s">
        <v>234</v>
      </c>
      <c r="X43" t="s">
        <v>235</v>
      </c>
      <c r="Y43" t="s">
        <v>234</v>
      </c>
      <c r="Z43" t="s">
        <v>235</v>
      </c>
      <c r="AA43" t="s">
        <v>235</v>
      </c>
      <c r="AB43" t="s">
        <v>234</v>
      </c>
      <c r="AC43" s="28">
        <f t="shared" si="0"/>
        <v>0.5</v>
      </c>
      <c r="AD43" s="28">
        <f t="shared" si="1"/>
        <v>0.7142857142857143</v>
      </c>
      <c r="AE43" s="28">
        <f t="shared" si="2"/>
        <v>0.6</v>
      </c>
    </row>
    <row r="44" spans="1:31" x14ac:dyDescent="0.45">
      <c r="A44" t="s">
        <v>2</v>
      </c>
      <c r="B44" t="s">
        <v>42</v>
      </c>
      <c r="D44" t="s">
        <v>235</v>
      </c>
      <c r="E44" t="s">
        <v>234</v>
      </c>
      <c r="F44" t="s">
        <v>234</v>
      </c>
      <c r="G44" t="s">
        <v>234</v>
      </c>
      <c r="H44" t="s">
        <v>235</v>
      </c>
      <c r="I44" t="s">
        <v>235</v>
      </c>
      <c r="J44" t="s">
        <v>235</v>
      </c>
      <c r="K44" t="s">
        <v>235</v>
      </c>
      <c r="L44" t="s">
        <v>235</v>
      </c>
      <c r="M44" t="s">
        <v>235</v>
      </c>
      <c r="N44" t="s">
        <v>235</v>
      </c>
      <c r="O44" t="s">
        <v>235</v>
      </c>
      <c r="P44" t="s">
        <v>235</v>
      </c>
      <c r="Q44" t="s">
        <v>235</v>
      </c>
      <c r="R44" t="s">
        <v>234</v>
      </c>
      <c r="S44" t="s">
        <v>234</v>
      </c>
      <c r="T44" t="s">
        <v>235</v>
      </c>
      <c r="U44" t="s">
        <v>234</v>
      </c>
      <c r="V44" t="s">
        <v>235</v>
      </c>
      <c r="W44" t="s">
        <v>234</v>
      </c>
      <c r="X44" t="s">
        <v>235</v>
      </c>
      <c r="Y44" t="s">
        <v>235</v>
      </c>
      <c r="Z44" t="s">
        <v>234</v>
      </c>
      <c r="AA44" t="s">
        <v>235</v>
      </c>
      <c r="AB44" t="s">
        <v>235</v>
      </c>
      <c r="AC44" s="28">
        <f t="shared" si="0"/>
        <v>0.5</v>
      </c>
      <c r="AD44" s="28">
        <f t="shared" si="1"/>
        <v>0.7142857142857143</v>
      </c>
      <c r="AE44" s="28">
        <f t="shared" si="2"/>
        <v>0.8</v>
      </c>
    </row>
    <row r="45" spans="1:31" x14ac:dyDescent="0.45">
      <c r="AC45">
        <v>6</v>
      </c>
      <c r="AD45">
        <v>13</v>
      </c>
      <c r="AE45">
        <v>6</v>
      </c>
    </row>
    <row r="46" spans="1:31" x14ac:dyDescent="0.45">
      <c r="D46" t="s">
        <v>110</v>
      </c>
      <c r="E46" t="s">
        <v>110</v>
      </c>
      <c r="F46" t="s">
        <v>110</v>
      </c>
      <c r="G46" t="s">
        <v>110</v>
      </c>
      <c r="H46" t="s">
        <v>110</v>
      </c>
      <c r="I46" t="s">
        <v>110</v>
      </c>
      <c r="J46" t="s">
        <v>109</v>
      </c>
      <c r="K46" t="s">
        <v>109</v>
      </c>
      <c r="L46" t="s">
        <v>109</v>
      </c>
      <c r="M46" t="s">
        <v>109</v>
      </c>
      <c r="N46" t="s">
        <v>109</v>
      </c>
      <c r="O46" t="s">
        <v>109</v>
      </c>
      <c r="P46" t="s">
        <v>109</v>
      </c>
      <c r="Q46" t="s">
        <v>109</v>
      </c>
      <c r="R46" t="s">
        <v>109</v>
      </c>
      <c r="S46" t="s">
        <v>109</v>
      </c>
      <c r="T46" t="s">
        <v>109</v>
      </c>
      <c r="U46" t="s">
        <v>109</v>
      </c>
      <c r="V46" t="s">
        <v>109</v>
      </c>
      <c r="W46" t="s">
        <v>111</v>
      </c>
      <c r="X46" t="s">
        <v>111</v>
      </c>
      <c r="Y46" t="s">
        <v>111</v>
      </c>
      <c r="Z46" t="s">
        <v>111</v>
      </c>
      <c r="AA46" t="s">
        <v>111</v>
      </c>
      <c r="AB46" t="s">
        <v>111</v>
      </c>
      <c r="AC46" t="s">
        <v>110</v>
      </c>
      <c r="AD46" t="s">
        <v>109</v>
      </c>
      <c r="AE46" t="s">
        <v>111</v>
      </c>
    </row>
    <row r="47" spans="1:31" x14ac:dyDescent="0.45">
      <c r="A47" t="s">
        <v>43</v>
      </c>
      <c r="B47" t="s">
        <v>175</v>
      </c>
      <c r="D47" t="s">
        <v>235</v>
      </c>
      <c r="E47" t="s">
        <v>235</v>
      </c>
      <c r="F47" t="s">
        <v>235</v>
      </c>
      <c r="G47" t="s">
        <v>235</v>
      </c>
      <c r="H47" t="s">
        <v>235</v>
      </c>
      <c r="I47" t="s">
        <v>235</v>
      </c>
      <c r="J47" t="s">
        <v>235</v>
      </c>
      <c r="K47" t="s">
        <v>235</v>
      </c>
      <c r="L47" t="s">
        <v>235</v>
      </c>
      <c r="M47" t="s">
        <v>235</v>
      </c>
      <c r="N47" t="s">
        <v>235</v>
      </c>
      <c r="O47" t="s">
        <v>235</v>
      </c>
      <c r="P47" t="s">
        <v>235</v>
      </c>
      <c r="Q47" t="s">
        <v>234</v>
      </c>
      <c r="R47" t="s">
        <v>235</v>
      </c>
      <c r="S47" t="s">
        <v>235</v>
      </c>
      <c r="T47" t="s">
        <v>235</v>
      </c>
      <c r="U47" t="s">
        <v>235</v>
      </c>
      <c r="V47" t="s">
        <v>235</v>
      </c>
      <c r="W47" t="s">
        <v>235</v>
      </c>
      <c r="X47" t="s">
        <v>235</v>
      </c>
      <c r="Y47" t="s">
        <v>235</v>
      </c>
      <c r="Z47" t="s">
        <v>235</v>
      </c>
      <c r="AA47" t="s">
        <v>235</v>
      </c>
      <c r="AB47" t="s">
        <v>235</v>
      </c>
      <c r="AC47" s="28">
        <f>(COUNTIF(D47:I47,"O")/6)</f>
        <v>1</v>
      </c>
      <c r="AD47" s="28">
        <f>(COUNTIF(J47:V47,"O")/13)</f>
        <v>0.92307692307692313</v>
      </c>
      <c r="AE47" s="28">
        <f>COUNTIF(W47:AB47,"O")/6</f>
        <v>1</v>
      </c>
    </row>
    <row r="48" spans="1:31" x14ac:dyDescent="0.45">
      <c r="A48" t="s">
        <v>43</v>
      </c>
      <c r="B48" t="s">
        <v>176</v>
      </c>
      <c r="D48" t="s">
        <v>235</v>
      </c>
      <c r="E48" t="s">
        <v>234</v>
      </c>
      <c r="F48" t="s">
        <v>234</v>
      </c>
      <c r="G48" t="s">
        <v>234</v>
      </c>
      <c r="H48" t="s">
        <v>235</v>
      </c>
      <c r="I48" t="s">
        <v>235</v>
      </c>
      <c r="J48" t="s">
        <v>234</v>
      </c>
      <c r="K48" t="s">
        <v>234</v>
      </c>
      <c r="L48" t="s">
        <v>234</v>
      </c>
      <c r="M48" t="s">
        <v>234</v>
      </c>
      <c r="N48" t="s">
        <v>235</v>
      </c>
      <c r="O48" t="s">
        <v>235</v>
      </c>
      <c r="P48" t="s">
        <v>235</v>
      </c>
      <c r="Q48" t="s">
        <v>235</v>
      </c>
      <c r="R48" t="s">
        <v>234</v>
      </c>
      <c r="S48" t="s">
        <v>235</v>
      </c>
      <c r="T48" t="s">
        <v>235</v>
      </c>
      <c r="U48" t="s">
        <v>234</v>
      </c>
      <c r="V48" t="s">
        <v>234</v>
      </c>
      <c r="W48" t="s">
        <v>235</v>
      </c>
      <c r="X48" t="s">
        <v>235</v>
      </c>
      <c r="Y48" t="s">
        <v>235</v>
      </c>
      <c r="Z48" t="s">
        <v>234</v>
      </c>
      <c r="AA48" t="s">
        <v>234</v>
      </c>
      <c r="AB48" t="s">
        <v>235</v>
      </c>
      <c r="AC48" s="28">
        <f t="shared" ref="AC48:AC70" si="3">(COUNTIF(D48:I48,"O")/6)</f>
        <v>0.5</v>
      </c>
      <c r="AD48" s="28">
        <f t="shared" ref="AD48:AD70" si="4">(COUNTIF(J48:V48,"O")/13)</f>
        <v>0.46153846153846156</v>
      </c>
      <c r="AE48" s="28">
        <f t="shared" ref="AE48:AE70" si="5">COUNTIF(W48:AB48,"O")/6</f>
        <v>0.66666666666666663</v>
      </c>
    </row>
    <row r="49" spans="1:31" x14ac:dyDescent="0.45">
      <c r="A49" t="s">
        <v>43</v>
      </c>
      <c r="B49" t="s">
        <v>174</v>
      </c>
      <c r="D49" t="s">
        <v>235</v>
      </c>
      <c r="E49" t="s">
        <v>235</v>
      </c>
      <c r="F49" t="s">
        <v>234</v>
      </c>
      <c r="G49" t="s">
        <v>234</v>
      </c>
      <c r="H49" t="s">
        <v>235</v>
      </c>
      <c r="I49" t="s">
        <v>235</v>
      </c>
      <c r="J49" t="s">
        <v>234</v>
      </c>
      <c r="K49" t="s">
        <v>234</v>
      </c>
      <c r="L49" t="s">
        <v>234</v>
      </c>
      <c r="M49" t="s">
        <v>234</v>
      </c>
      <c r="N49" t="s">
        <v>235</v>
      </c>
      <c r="O49" t="s">
        <v>234</v>
      </c>
      <c r="P49" t="s">
        <v>235</v>
      </c>
      <c r="Q49" t="s">
        <v>234</v>
      </c>
      <c r="R49" t="s">
        <v>235</v>
      </c>
      <c r="S49" t="s">
        <v>235</v>
      </c>
      <c r="T49" t="s">
        <v>235</v>
      </c>
      <c r="U49" t="s">
        <v>234</v>
      </c>
      <c r="V49" t="s">
        <v>234</v>
      </c>
      <c r="W49" t="s">
        <v>235</v>
      </c>
      <c r="X49" t="s">
        <v>234</v>
      </c>
      <c r="Y49" t="s">
        <v>235</v>
      </c>
      <c r="Z49" t="s">
        <v>235</v>
      </c>
      <c r="AA49" t="s">
        <v>235</v>
      </c>
      <c r="AB49" t="s">
        <v>234</v>
      </c>
      <c r="AC49" s="28">
        <f t="shared" si="3"/>
        <v>0.66666666666666663</v>
      </c>
      <c r="AD49" s="28">
        <f t="shared" si="4"/>
        <v>0.38461538461538464</v>
      </c>
      <c r="AE49" s="28">
        <f t="shared" si="5"/>
        <v>0.66666666666666663</v>
      </c>
    </row>
    <row r="50" spans="1:31" x14ac:dyDescent="0.45">
      <c r="A50" t="s">
        <v>43</v>
      </c>
      <c r="B50" t="s">
        <v>177</v>
      </c>
      <c r="D50" t="s">
        <v>234</v>
      </c>
      <c r="E50" t="s">
        <v>234</v>
      </c>
      <c r="F50" t="s">
        <v>234</v>
      </c>
      <c r="G50" t="s">
        <v>234</v>
      </c>
      <c r="H50" t="s">
        <v>235</v>
      </c>
      <c r="I50" t="s">
        <v>235</v>
      </c>
      <c r="J50" t="s">
        <v>235</v>
      </c>
      <c r="K50" t="s">
        <v>234</v>
      </c>
      <c r="L50" t="s">
        <v>234</v>
      </c>
      <c r="M50" t="s">
        <v>234</v>
      </c>
      <c r="N50" t="s">
        <v>235</v>
      </c>
      <c r="O50" t="s">
        <v>235</v>
      </c>
      <c r="P50" t="s">
        <v>234</v>
      </c>
      <c r="Q50" t="s">
        <v>234</v>
      </c>
      <c r="R50" t="s">
        <v>234</v>
      </c>
      <c r="S50" t="s">
        <v>235</v>
      </c>
      <c r="T50" t="s">
        <v>235</v>
      </c>
      <c r="U50" t="s">
        <v>235</v>
      </c>
      <c r="V50" t="s">
        <v>235</v>
      </c>
      <c r="W50" t="s">
        <v>235</v>
      </c>
      <c r="X50" t="s">
        <v>235</v>
      </c>
      <c r="Y50" t="s">
        <v>234</v>
      </c>
      <c r="Z50" t="s">
        <v>235</v>
      </c>
      <c r="AA50" t="s">
        <v>234</v>
      </c>
      <c r="AB50" t="s">
        <v>235</v>
      </c>
      <c r="AC50" s="28">
        <f t="shared" si="3"/>
        <v>0.33333333333333331</v>
      </c>
      <c r="AD50" s="28">
        <f t="shared" si="4"/>
        <v>0.53846153846153844</v>
      </c>
      <c r="AE50" s="28">
        <f t="shared" si="5"/>
        <v>0.66666666666666663</v>
      </c>
    </row>
    <row r="51" spans="1:31" x14ac:dyDescent="0.45">
      <c r="A51" t="s">
        <v>43</v>
      </c>
      <c r="B51" t="s">
        <v>44</v>
      </c>
      <c r="D51" t="s">
        <v>234</v>
      </c>
      <c r="E51" t="s">
        <v>235</v>
      </c>
      <c r="F51" t="s">
        <v>234</v>
      </c>
      <c r="G51" t="s">
        <v>235</v>
      </c>
      <c r="H51" t="s">
        <v>234</v>
      </c>
      <c r="I51" t="s">
        <v>235</v>
      </c>
      <c r="J51" t="s">
        <v>234</v>
      </c>
      <c r="K51" t="s">
        <v>235</v>
      </c>
      <c r="L51" t="s">
        <v>234</v>
      </c>
      <c r="M51" t="s">
        <v>234</v>
      </c>
      <c r="N51" t="s">
        <v>234</v>
      </c>
      <c r="O51" t="s">
        <v>235</v>
      </c>
      <c r="P51" t="s">
        <v>234</v>
      </c>
      <c r="Q51" t="s">
        <v>235</v>
      </c>
      <c r="R51" t="s">
        <v>234</v>
      </c>
      <c r="S51" t="s">
        <v>235</v>
      </c>
      <c r="T51" t="s">
        <v>234</v>
      </c>
      <c r="U51" t="s">
        <v>234</v>
      </c>
      <c r="V51" t="s">
        <v>234</v>
      </c>
      <c r="W51" t="s">
        <v>235</v>
      </c>
      <c r="X51" t="s">
        <v>234</v>
      </c>
      <c r="Y51" t="s">
        <v>234</v>
      </c>
      <c r="Z51" t="s">
        <v>234</v>
      </c>
      <c r="AA51" t="s">
        <v>234</v>
      </c>
      <c r="AB51" t="s">
        <v>234</v>
      </c>
      <c r="AC51" s="28">
        <f t="shared" si="3"/>
        <v>0.5</v>
      </c>
      <c r="AD51" s="28">
        <f t="shared" si="4"/>
        <v>0.30769230769230771</v>
      </c>
      <c r="AE51" s="28">
        <f t="shared" si="5"/>
        <v>0.16666666666666666</v>
      </c>
    </row>
    <row r="52" spans="1:31" x14ac:dyDescent="0.45">
      <c r="A52" t="s">
        <v>43</v>
      </c>
      <c r="B52" t="s">
        <v>45</v>
      </c>
      <c r="D52" t="s">
        <v>235</v>
      </c>
      <c r="E52" t="s">
        <v>234</v>
      </c>
      <c r="F52" t="s">
        <v>235</v>
      </c>
      <c r="G52" t="s">
        <v>234</v>
      </c>
      <c r="H52" t="s">
        <v>235</v>
      </c>
      <c r="I52" t="s">
        <v>235</v>
      </c>
      <c r="J52" t="s">
        <v>235</v>
      </c>
      <c r="K52" t="s">
        <v>234</v>
      </c>
      <c r="L52" t="s">
        <v>234</v>
      </c>
      <c r="M52" t="s">
        <v>235</v>
      </c>
      <c r="N52" t="s">
        <v>235</v>
      </c>
      <c r="O52" t="s">
        <v>235</v>
      </c>
      <c r="P52" t="s">
        <v>235</v>
      </c>
      <c r="Q52" t="s">
        <v>235</v>
      </c>
      <c r="R52" t="s">
        <v>234</v>
      </c>
      <c r="S52" t="s">
        <v>235</v>
      </c>
      <c r="T52" t="s">
        <v>235</v>
      </c>
      <c r="U52" t="s">
        <v>234</v>
      </c>
      <c r="V52" t="s">
        <v>235</v>
      </c>
      <c r="W52" t="s">
        <v>235</v>
      </c>
      <c r="X52" t="s">
        <v>235</v>
      </c>
      <c r="Y52" t="s">
        <v>235</v>
      </c>
      <c r="Z52" t="s">
        <v>235</v>
      </c>
      <c r="AA52" t="s">
        <v>235</v>
      </c>
      <c r="AB52" t="s">
        <v>235</v>
      </c>
      <c r="AC52" s="28">
        <f t="shared" si="3"/>
        <v>0.66666666666666663</v>
      </c>
      <c r="AD52" s="28">
        <f t="shared" si="4"/>
        <v>0.69230769230769229</v>
      </c>
      <c r="AE52" s="28">
        <f t="shared" si="5"/>
        <v>1</v>
      </c>
    </row>
    <row r="53" spans="1:31" x14ac:dyDescent="0.45">
      <c r="A53" t="s">
        <v>43</v>
      </c>
      <c r="B53" t="s">
        <v>46</v>
      </c>
      <c r="D53" t="s">
        <v>234</v>
      </c>
      <c r="E53" t="s">
        <v>234</v>
      </c>
      <c r="F53" t="s">
        <v>235</v>
      </c>
      <c r="G53" t="s">
        <v>234</v>
      </c>
      <c r="H53" t="s">
        <v>235</v>
      </c>
      <c r="I53" t="s">
        <v>235</v>
      </c>
      <c r="J53" t="s">
        <v>234</v>
      </c>
      <c r="K53" t="s">
        <v>235</v>
      </c>
      <c r="L53" t="s">
        <v>234</v>
      </c>
      <c r="M53" t="s">
        <v>235</v>
      </c>
      <c r="N53" t="s">
        <v>235</v>
      </c>
      <c r="O53" t="s">
        <v>235</v>
      </c>
      <c r="P53" t="s">
        <v>235</v>
      </c>
      <c r="Q53" t="s">
        <v>234</v>
      </c>
      <c r="R53" t="s">
        <v>235</v>
      </c>
      <c r="S53" t="s">
        <v>235</v>
      </c>
      <c r="T53" t="s">
        <v>234</v>
      </c>
      <c r="U53" t="s">
        <v>234</v>
      </c>
      <c r="V53" t="s">
        <v>235</v>
      </c>
      <c r="W53" t="s">
        <v>235</v>
      </c>
      <c r="X53" t="s">
        <v>235</v>
      </c>
      <c r="Y53" t="s">
        <v>234</v>
      </c>
      <c r="Z53" t="s">
        <v>234</v>
      </c>
      <c r="AA53" t="s">
        <v>235</v>
      </c>
      <c r="AB53" t="s">
        <v>235</v>
      </c>
      <c r="AC53" s="28">
        <f t="shared" si="3"/>
        <v>0.5</v>
      </c>
      <c r="AD53" s="28">
        <f t="shared" si="4"/>
        <v>0.61538461538461542</v>
      </c>
      <c r="AE53" s="28">
        <f t="shared" si="5"/>
        <v>0.66666666666666663</v>
      </c>
    </row>
    <row r="54" spans="1:31" x14ac:dyDescent="0.45">
      <c r="A54" t="s">
        <v>43</v>
      </c>
      <c r="B54" t="s">
        <v>47</v>
      </c>
      <c r="D54" t="s">
        <v>235</v>
      </c>
      <c r="E54" t="s">
        <v>235</v>
      </c>
      <c r="F54" t="s">
        <v>234</v>
      </c>
      <c r="G54" t="s">
        <v>234</v>
      </c>
      <c r="H54" t="s">
        <v>235</v>
      </c>
      <c r="I54" t="s">
        <v>235</v>
      </c>
      <c r="J54" t="s">
        <v>234</v>
      </c>
      <c r="K54" t="s">
        <v>234</v>
      </c>
      <c r="L54" t="s">
        <v>234</v>
      </c>
      <c r="M54" t="s">
        <v>235</v>
      </c>
      <c r="N54" t="s">
        <v>235</v>
      </c>
      <c r="O54" t="s">
        <v>235</v>
      </c>
      <c r="P54" t="s">
        <v>235</v>
      </c>
      <c r="Q54" t="s">
        <v>234</v>
      </c>
      <c r="R54" t="s">
        <v>235</v>
      </c>
      <c r="S54" t="s">
        <v>234</v>
      </c>
      <c r="T54" t="s">
        <v>235</v>
      </c>
      <c r="U54" t="s">
        <v>234</v>
      </c>
      <c r="V54" t="s">
        <v>234</v>
      </c>
      <c r="W54" t="s">
        <v>235</v>
      </c>
      <c r="X54" t="s">
        <v>235</v>
      </c>
      <c r="Y54" t="s">
        <v>235</v>
      </c>
      <c r="Z54" t="s">
        <v>234</v>
      </c>
      <c r="AA54" t="s">
        <v>234</v>
      </c>
      <c r="AB54" t="s">
        <v>235</v>
      </c>
      <c r="AC54" s="28">
        <f t="shared" si="3"/>
        <v>0.66666666666666663</v>
      </c>
      <c r="AD54" s="28">
        <f t="shared" si="4"/>
        <v>0.46153846153846156</v>
      </c>
      <c r="AE54" s="28">
        <f t="shared" si="5"/>
        <v>0.66666666666666663</v>
      </c>
    </row>
    <row r="55" spans="1:31" x14ac:dyDescent="0.45">
      <c r="A55" t="s">
        <v>43</v>
      </c>
      <c r="B55" t="s">
        <v>48</v>
      </c>
      <c r="D55" t="s">
        <v>235</v>
      </c>
      <c r="E55" t="s">
        <v>235</v>
      </c>
      <c r="F55" t="s">
        <v>235</v>
      </c>
      <c r="G55" t="s">
        <v>234</v>
      </c>
      <c r="H55" t="s">
        <v>235</v>
      </c>
      <c r="I55" t="s">
        <v>235</v>
      </c>
      <c r="J55" t="s">
        <v>235</v>
      </c>
      <c r="K55" t="s">
        <v>234</v>
      </c>
      <c r="L55" t="s">
        <v>234</v>
      </c>
      <c r="M55" t="s">
        <v>235</v>
      </c>
      <c r="N55" t="s">
        <v>235</v>
      </c>
      <c r="O55" t="s">
        <v>235</v>
      </c>
      <c r="P55" t="s">
        <v>235</v>
      </c>
      <c r="Q55" t="s">
        <v>235</v>
      </c>
      <c r="R55" t="s">
        <v>234</v>
      </c>
      <c r="S55" t="s">
        <v>235</v>
      </c>
      <c r="T55" t="s">
        <v>234</v>
      </c>
      <c r="U55" t="s">
        <v>234</v>
      </c>
      <c r="V55" t="s">
        <v>234</v>
      </c>
      <c r="W55" t="s">
        <v>235</v>
      </c>
      <c r="X55" t="s">
        <v>235</v>
      </c>
      <c r="Y55" t="s">
        <v>235</v>
      </c>
      <c r="Z55" t="s">
        <v>234</v>
      </c>
      <c r="AA55" t="s">
        <v>235</v>
      </c>
      <c r="AB55" t="s">
        <v>235</v>
      </c>
      <c r="AC55" s="28">
        <f t="shared" si="3"/>
        <v>0.83333333333333337</v>
      </c>
      <c r="AD55" s="28">
        <f t="shared" si="4"/>
        <v>0.53846153846153844</v>
      </c>
      <c r="AE55" s="28">
        <f t="shared" si="5"/>
        <v>0.83333333333333337</v>
      </c>
    </row>
    <row r="56" spans="1:31" x14ac:dyDescent="0.45">
      <c r="A56" t="s">
        <v>43</v>
      </c>
      <c r="B56" t="s">
        <v>49</v>
      </c>
      <c r="D56" t="s">
        <v>235</v>
      </c>
      <c r="E56" t="s">
        <v>235</v>
      </c>
      <c r="F56" t="s">
        <v>235</v>
      </c>
      <c r="G56" t="s">
        <v>234</v>
      </c>
      <c r="H56" t="s">
        <v>235</v>
      </c>
      <c r="I56" t="s">
        <v>235</v>
      </c>
      <c r="J56" t="s">
        <v>234</v>
      </c>
      <c r="K56" t="s">
        <v>234</v>
      </c>
      <c r="L56" t="s">
        <v>234</v>
      </c>
      <c r="M56" t="s">
        <v>235</v>
      </c>
      <c r="N56" t="s">
        <v>235</v>
      </c>
      <c r="O56" t="s">
        <v>235</v>
      </c>
      <c r="P56" t="s">
        <v>235</v>
      </c>
      <c r="Q56" t="s">
        <v>235</v>
      </c>
      <c r="R56" t="s">
        <v>235</v>
      </c>
      <c r="S56" t="s">
        <v>235</v>
      </c>
      <c r="T56" t="s">
        <v>235</v>
      </c>
      <c r="U56" t="s">
        <v>234</v>
      </c>
      <c r="V56" t="s">
        <v>234</v>
      </c>
      <c r="W56" t="s">
        <v>235</v>
      </c>
      <c r="X56" t="s">
        <v>235</v>
      </c>
      <c r="Y56" t="s">
        <v>235</v>
      </c>
      <c r="Z56" t="s">
        <v>235</v>
      </c>
      <c r="AA56" t="s">
        <v>235</v>
      </c>
      <c r="AB56" t="s">
        <v>235</v>
      </c>
      <c r="AC56" s="28">
        <f t="shared" si="3"/>
        <v>0.83333333333333337</v>
      </c>
      <c r="AD56" s="28">
        <f t="shared" si="4"/>
        <v>0.61538461538461542</v>
      </c>
      <c r="AE56" s="28">
        <f t="shared" si="5"/>
        <v>1</v>
      </c>
    </row>
    <row r="57" spans="1:31" x14ac:dyDescent="0.45">
      <c r="A57" t="s">
        <v>43</v>
      </c>
      <c r="B57" t="s">
        <v>50</v>
      </c>
      <c r="D57" t="s">
        <v>235</v>
      </c>
      <c r="E57" t="s">
        <v>234</v>
      </c>
      <c r="F57" t="s">
        <v>234</v>
      </c>
      <c r="G57" t="s">
        <v>234</v>
      </c>
      <c r="H57" t="s">
        <v>235</v>
      </c>
      <c r="I57" t="s">
        <v>235</v>
      </c>
      <c r="J57" t="s">
        <v>235</v>
      </c>
      <c r="K57" t="s">
        <v>235</v>
      </c>
      <c r="L57" t="s">
        <v>234</v>
      </c>
      <c r="M57" t="s">
        <v>234</v>
      </c>
      <c r="N57" t="s">
        <v>235</v>
      </c>
      <c r="O57" t="s">
        <v>234</v>
      </c>
      <c r="P57" t="s">
        <v>235</v>
      </c>
      <c r="Q57" t="s">
        <v>235</v>
      </c>
      <c r="R57" t="s">
        <v>234</v>
      </c>
      <c r="S57" t="s">
        <v>235</v>
      </c>
      <c r="T57" t="s">
        <v>235</v>
      </c>
      <c r="U57" t="s">
        <v>234</v>
      </c>
      <c r="V57" t="s">
        <v>234</v>
      </c>
      <c r="W57" t="s">
        <v>235</v>
      </c>
      <c r="X57" t="s">
        <v>235</v>
      </c>
      <c r="Y57" t="s">
        <v>235</v>
      </c>
      <c r="Z57" t="s">
        <v>234</v>
      </c>
      <c r="AA57" t="s">
        <v>234</v>
      </c>
      <c r="AB57" t="s">
        <v>235</v>
      </c>
      <c r="AC57" s="28">
        <f t="shared" si="3"/>
        <v>0.5</v>
      </c>
      <c r="AD57" s="28">
        <f t="shared" si="4"/>
        <v>0.53846153846153844</v>
      </c>
      <c r="AE57" s="28">
        <f t="shared" si="5"/>
        <v>0.66666666666666663</v>
      </c>
    </row>
    <row r="58" spans="1:31" x14ac:dyDescent="0.45">
      <c r="A58" t="s">
        <v>43</v>
      </c>
      <c r="B58" t="s">
        <v>51</v>
      </c>
      <c r="D58" t="s">
        <v>235</v>
      </c>
      <c r="E58" t="s">
        <v>235</v>
      </c>
      <c r="F58" t="s">
        <v>234</v>
      </c>
      <c r="G58" t="s">
        <v>235</v>
      </c>
      <c r="H58" t="s">
        <v>235</v>
      </c>
      <c r="I58" t="s">
        <v>235</v>
      </c>
      <c r="J58" t="s">
        <v>234</v>
      </c>
      <c r="K58" t="s">
        <v>234</v>
      </c>
      <c r="L58" t="s">
        <v>234</v>
      </c>
      <c r="M58" t="s">
        <v>234</v>
      </c>
      <c r="N58" t="s">
        <v>234</v>
      </c>
      <c r="O58" t="s">
        <v>235</v>
      </c>
      <c r="P58" t="s">
        <v>235</v>
      </c>
      <c r="Q58" t="s">
        <v>234</v>
      </c>
      <c r="R58" t="s">
        <v>234</v>
      </c>
      <c r="S58" t="s">
        <v>235</v>
      </c>
      <c r="T58" t="s">
        <v>235</v>
      </c>
      <c r="U58" t="s">
        <v>234</v>
      </c>
      <c r="V58" t="s">
        <v>234</v>
      </c>
      <c r="W58" t="s">
        <v>235</v>
      </c>
      <c r="X58" t="s">
        <v>234</v>
      </c>
      <c r="Y58" t="s">
        <v>234</v>
      </c>
      <c r="Z58" t="s">
        <v>234</v>
      </c>
      <c r="AA58" t="s">
        <v>235</v>
      </c>
      <c r="AB58" t="s">
        <v>235</v>
      </c>
      <c r="AC58" s="28">
        <f t="shared" si="3"/>
        <v>0.83333333333333337</v>
      </c>
      <c r="AD58" s="28">
        <f t="shared" si="4"/>
        <v>0.30769230769230771</v>
      </c>
      <c r="AE58" s="28">
        <f t="shared" si="5"/>
        <v>0.5</v>
      </c>
    </row>
    <row r="59" spans="1:31" x14ac:dyDescent="0.45">
      <c r="A59" t="s">
        <v>43</v>
      </c>
      <c r="B59" t="s">
        <v>52</v>
      </c>
      <c r="D59" t="s">
        <v>235</v>
      </c>
      <c r="E59" t="s">
        <v>235</v>
      </c>
      <c r="F59" t="s">
        <v>235</v>
      </c>
      <c r="G59" t="s">
        <v>234</v>
      </c>
      <c r="H59" t="s">
        <v>235</v>
      </c>
      <c r="I59" t="s">
        <v>235</v>
      </c>
      <c r="J59" t="s">
        <v>234</v>
      </c>
      <c r="K59" t="s">
        <v>234</v>
      </c>
      <c r="L59" t="s">
        <v>234</v>
      </c>
      <c r="M59" t="s">
        <v>235</v>
      </c>
      <c r="N59" t="s">
        <v>235</v>
      </c>
      <c r="O59" t="s">
        <v>235</v>
      </c>
      <c r="P59" t="s">
        <v>235</v>
      </c>
      <c r="Q59" t="s">
        <v>235</v>
      </c>
      <c r="R59" t="s">
        <v>235</v>
      </c>
      <c r="S59" t="s">
        <v>234</v>
      </c>
      <c r="T59" t="s">
        <v>235</v>
      </c>
      <c r="U59" t="s">
        <v>234</v>
      </c>
      <c r="V59" t="s">
        <v>234</v>
      </c>
      <c r="W59" t="s">
        <v>235</v>
      </c>
      <c r="X59" t="s">
        <v>235</v>
      </c>
      <c r="Y59" t="s">
        <v>235</v>
      </c>
      <c r="Z59" t="s">
        <v>234</v>
      </c>
      <c r="AA59" t="s">
        <v>235</v>
      </c>
      <c r="AB59" t="s">
        <v>235</v>
      </c>
      <c r="AC59" s="28">
        <f t="shared" si="3"/>
        <v>0.83333333333333337</v>
      </c>
      <c r="AD59" s="28">
        <f t="shared" si="4"/>
        <v>0.53846153846153844</v>
      </c>
      <c r="AE59" s="28">
        <f t="shared" si="5"/>
        <v>0.83333333333333337</v>
      </c>
    </row>
    <row r="60" spans="1:31" x14ac:dyDescent="0.45">
      <c r="A60" t="s">
        <v>43</v>
      </c>
      <c r="B60" t="s">
        <v>53</v>
      </c>
      <c r="D60" t="s">
        <v>234</v>
      </c>
      <c r="E60" t="s">
        <v>234</v>
      </c>
      <c r="F60" t="s">
        <v>235</v>
      </c>
      <c r="G60" t="s">
        <v>234</v>
      </c>
      <c r="H60" t="s">
        <v>234</v>
      </c>
      <c r="I60" t="s">
        <v>235</v>
      </c>
      <c r="J60" t="s">
        <v>234</v>
      </c>
      <c r="K60" t="s">
        <v>234</v>
      </c>
      <c r="L60" t="s">
        <v>234</v>
      </c>
      <c r="M60" t="s">
        <v>234</v>
      </c>
      <c r="N60" t="s">
        <v>234</v>
      </c>
      <c r="O60" t="s">
        <v>234</v>
      </c>
      <c r="P60" t="s">
        <v>235</v>
      </c>
      <c r="Q60" t="s">
        <v>235</v>
      </c>
      <c r="R60" t="s">
        <v>234</v>
      </c>
      <c r="S60" t="s">
        <v>235</v>
      </c>
      <c r="T60" t="s">
        <v>234</v>
      </c>
      <c r="U60" t="s">
        <v>234</v>
      </c>
      <c r="V60" t="s">
        <v>234</v>
      </c>
      <c r="W60" t="s">
        <v>235</v>
      </c>
      <c r="X60" t="s">
        <v>234</v>
      </c>
      <c r="Y60" t="s">
        <v>235</v>
      </c>
      <c r="Z60" t="s">
        <v>235</v>
      </c>
      <c r="AA60" t="s">
        <v>234</v>
      </c>
      <c r="AB60" t="s">
        <v>234</v>
      </c>
      <c r="AC60" s="28">
        <f t="shared" si="3"/>
        <v>0.33333333333333331</v>
      </c>
      <c r="AD60" s="28">
        <f t="shared" si="4"/>
        <v>0.23076923076923078</v>
      </c>
      <c r="AE60" s="28">
        <f t="shared" si="5"/>
        <v>0.5</v>
      </c>
    </row>
    <row r="61" spans="1:31" x14ac:dyDescent="0.45">
      <c r="A61" t="s">
        <v>43</v>
      </c>
      <c r="B61" t="s">
        <v>54</v>
      </c>
      <c r="D61" t="s">
        <v>234</v>
      </c>
      <c r="E61" t="s">
        <v>235</v>
      </c>
      <c r="F61" t="s">
        <v>235</v>
      </c>
      <c r="G61" t="s">
        <v>234</v>
      </c>
      <c r="H61" t="s">
        <v>234</v>
      </c>
      <c r="I61" t="s">
        <v>235</v>
      </c>
      <c r="J61" t="s">
        <v>235</v>
      </c>
      <c r="K61" t="s">
        <v>235</v>
      </c>
      <c r="L61" t="s">
        <v>234</v>
      </c>
      <c r="M61" t="s">
        <v>235</v>
      </c>
      <c r="N61" t="s">
        <v>235</v>
      </c>
      <c r="O61" t="s">
        <v>235</v>
      </c>
      <c r="P61" t="s">
        <v>235</v>
      </c>
      <c r="Q61" t="s">
        <v>235</v>
      </c>
      <c r="R61" t="s">
        <v>235</v>
      </c>
      <c r="S61" t="s">
        <v>235</v>
      </c>
      <c r="T61" t="s">
        <v>235</v>
      </c>
      <c r="U61" t="s">
        <v>234</v>
      </c>
      <c r="V61" t="s">
        <v>234</v>
      </c>
      <c r="W61" t="s">
        <v>235</v>
      </c>
      <c r="X61" t="s">
        <v>235</v>
      </c>
      <c r="Y61" t="s">
        <v>235</v>
      </c>
      <c r="Z61" t="s">
        <v>234</v>
      </c>
      <c r="AA61" t="s">
        <v>235</v>
      </c>
      <c r="AB61" t="s">
        <v>235</v>
      </c>
      <c r="AC61" s="28">
        <f t="shared" si="3"/>
        <v>0.5</v>
      </c>
      <c r="AD61" s="28">
        <f t="shared" si="4"/>
        <v>0.76923076923076927</v>
      </c>
      <c r="AE61" s="28">
        <f t="shared" si="5"/>
        <v>0.83333333333333337</v>
      </c>
    </row>
    <row r="62" spans="1:31" x14ac:dyDescent="0.45">
      <c r="A62" t="s">
        <v>43</v>
      </c>
      <c r="B62" t="s">
        <v>55</v>
      </c>
      <c r="D62" t="s">
        <v>234</v>
      </c>
      <c r="E62" t="s">
        <v>234</v>
      </c>
      <c r="F62" t="s">
        <v>234</v>
      </c>
      <c r="G62" t="s">
        <v>234</v>
      </c>
      <c r="H62" t="s">
        <v>235</v>
      </c>
      <c r="I62" t="s">
        <v>235</v>
      </c>
      <c r="J62" t="s">
        <v>234</v>
      </c>
      <c r="K62" t="s">
        <v>234</v>
      </c>
      <c r="L62" t="s">
        <v>234</v>
      </c>
      <c r="M62" t="s">
        <v>234</v>
      </c>
      <c r="N62" t="s">
        <v>235</v>
      </c>
      <c r="O62" t="s">
        <v>235</v>
      </c>
      <c r="P62" t="s">
        <v>235</v>
      </c>
      <c r="Q62" t="s">
        <v>234</v>
      </c>
      <c r="R62" t="s">
        <v>234</v>
      </c>
      <c r="S62" t="s">
        <v>235</v>
      </c>
      <c r="T62" t="s">
        <v>234</v>
      </c>
      <c r="U62" t="s">
        <v>234</v>
      </c>
      <c r="V62" t="s">
        <v>234</v>
      </c>
      <c r="W62" t="s">
        <v>235</v>
      </c>
      <c r="X62" t="s">
        <v>235</v>
      </c>
      <c r="Y62" t="s">
        <v>234</v>
      </c>
      <c r="Z62" t="s">
        <v>234</v>
      </c>
      <c r="AA62" t="s">
        <v>234</v>
      </c>
      <c r="AB62" t="s">
        <v>235</v>
      </c>
      <c r="AC62" s="28">
        <f t="shared" si="3"/>
        <v>0.33333333333333331</v>
      </c>
      <c r="AD62" s="28">
        <f t="shared" si="4"/>
        <v>0.30769230769230771</v>
      </c>
      <c r="AE62" s="28">
        <f t="shared" si="5"/>
        <v>0.5</v>
      </c>
    </row>
    <row r="63" spans="1:31" x14ac:dyDescent="0.45">
      <c r="A63" t="s">
        <v>43</v>
      </c>
      <c r="B63" t="s">
        <v>56</v>
      </c>
      <c r="D63" t="s">
        <v>235</v>
      </c>
      <c r="E63" t="s">
        <v>235</v>
      </c>
      <c r="F63" t="s">
        <v>235</v>
      </c>
      <c r="G63" t="s">
        <v>235</v>
      </c>
      <c r="H63" t="s">
        <v>235</v>
      </c>
      <c r="I63" t="s">
        <v>235</v>
      </c>
      <c r="J63" t="s">
        <v>234</v>
      </c>
      <c r="K63" t="s">
        <v>235</v>
      </c>
      <c r="L63" t="s">
        <v>234</v>
      </c>
      <c r="M63" t="s">
        <v>235</v>
      </c>
      <c r="N63" t="s">
        <v>235</v>
      </c>
      <c r="O63" t="s">
        <v>235</v>
      </c>
      <c r="P63" t="s">
        <v>235</v>
      </c>
      <c r="Q63" t="s">
        <v>235</v>
      </c>
      <c r="R63" t="s">
        <v>234</v>
      </c>
      <c r="S63" t="s">
        <v>235</v>
      </c>
      <c r="T63" t="s">
        <v>234</v>
      </c>
      <c r="U63" t="s">
        <v>234</v>
      </c>
      <c r="V63" t="s">
        <v>234</v>
      </c>
      <c r="W63" t="s">
        <v>235</v>
      </c>
      <c r="X63" t="s">
        <v>235</v>
      </c>
      <c r="Y63" t="s">
        <v>235</v>
      </c>
      <c r="Z63" t="s">
        <v>235</v>
      </c>
      <c r="AA63" t="s">
        <v>235</v>
      </c>
      <c r="AB63" t="s">
        <v>235</v>
      </c>
      <c r="AC63" s="28">
        <f t="shared" si="3"/>
        <v>1</v>
      </c>
      <c r="AD63" s="28">
        <f t="shared" si="4"/>
        <v>0.53846153846153844</v>
      </c>
      <c r="AE63" s="28">
        <f t="shared" si="5"/>
        <v>1</v>
      </c>
    </row>
    <row r="64" spans="1:31" x14ac:dyDescent="0.45">
      <c r="A64" t="s">
        <v>43</v>
      </c>
      <c r="B64" t="s">
        <v>57</v>
      </c>
      <c r="D64" t="s">
        <v>234</v>
      </c>
      <c r="E64" t="s">
        <v>234</v>
      </c>
      <c r="F64" t="s">
        <v>234</v>
      </c>
      <c r="G64" t="s">
        <v>234</v>
      </c>
      <c r="H64" t="s">
        <v>234</v>
      </c>
      <c r="I64" t="s">
        <v>235</v>
      </c>
      <c r="J64" t="s">
        <v>235</v>
      </c>
      <c r="K64" t="s">
        <v>234</v>
      </c>
      <c r="L64" t="s">
        <v>234</v>
      </c>
      <c r="M64" t="s">
        <v>235</v>
      </c>
      <c r="N64" t="s">
        <v>234</v>
      </c>
      <c r="O64" t="s">
        <v>235</v>
      </c>
      <c r="P64" t="s">
        <v>234</v>
      </c>
      <c r="Q64" t="s">
        <v>235</v>
      </c>
      <c r="R64" t="s">
        <v>234</v>
      </c>
      <c r="S64" t="s">
        <v>235</v>
      </c>
      <c r="T64" t="s">
        <v>235</v>
      </c>
      <c r="U64" t="s">
        <v>234</v>
      </c>
      <c r="V64" t="s">
        <v>234</v>
      </c>
      <c r="W64" t="s">
        <v>235</v>
      </c>
      <c r="X64" t="s">
        <v>234</v>
      </c>
      <c r="Y64" t="s">
        <v>234</v>
      </c>
      <c r="Z64" t="s">
        <v>235</v>
      </c>
      <c r="AA64" t="s">
        <v>234</v>
      </c>
      <c r="AB64" t="s">
        <v>235</v>
      </c>
      <c r="AC64" s="28">
        <f t="shared" si="3"/>
        <v>0.16666666666666666</v>
      </c>
      <c r="AD64" s="28">
        <f t="shared" si="4"/>
        <v>0.46153846153846156</v>
      </c>
      <c r="AE64" s="28">
        <f t="shared" si="5"/>
        <v>0.5</v>
      </c>
    </row>
    <row r="65" spans="1:31" x14ac:dyDescent="0.45">
      <c r="A65" t="s">
        <v>43</v>
      </c>
      <c r="B65" t="s">
        <v>58</v>
      </c>
      <c r="D65" t="s">
        <v>234</v>
      </c>
      <c r="E65" t="s">
        <v>234</v>
      </c>
      <c r="F65" t="s">
        <v>235</v>
      </c>
      <c r="G65" t="s">
        <v>234</v>
      </c>
      <c r="H65" t="s">
        <v>234</v>
      </c>
      <c r="I65" t="s">
        <v>235</v>
      </c>
      <c r="J65" t="s">
        <v>234</v>
      </c>
      <c r="K65" t="s">
        <v>234</v>
      </c>
      <c r="L65" t="s">
        <v>234</v>
      </c>
      <c r="M65" t="s">
        <v>234</v>
      </c>
      <c r="N65" t="s">
        <v>235</v>
      </c>
      <c r="O65" t="s">
        <v>234</v>
      </c>
      <c r="P65" t="s">
        <v>235</v>
      </c>
      <c r="Q65" t="s">
        <v>235</v>
      </c>
      <c r="R65" t="s">
        <v>235</v>
      </c>
      <c r="S65" t="s">
        <v>235</v>
      </c>
      <c r="T65" t="s">
        <v>235</v>
      </c>
      <c r="U65" t="s">
        <v>234</v>
      </c>
      <c r="V65" t="s">
        <v>234</v>
      </c>
      <c r="W65" t="s">
        <v>235</v>
      </c>
      <c r="X65" t="s">
        <v>234</v>
      </c>
      <c r="Y65" t="s">
        <v>235</v>
      </c>
      <c r="Z65" t="s">
        <v>235</v>
      </c>
      <c r="AA65" t="s">
        <v>235</v>
      </c>
      <c r="AB65" t="s">
        <v>235</v>
      </c>
      <c r="AC65" s="28">
        <f t="shared" si="3"/>
        <v>0.33333333333333331</v>
      </c>
      <c r="AD65" s="28">
        <f t="shared" si="4"/>
        <v>0.46153846153846156</v>
      </c>
      <c r="AE65" s="28">
        <f t="shared" si="5"/>
        <v>0.83333333333333337</v>
      </c>
    </row>
    <row r="66" spans="1:31" x14ac:dyDescent="0.45">
      <c r="A66" t="s">
        <v>43</v>
      </c>
      <c r="B66" t="s">
        <v>59</v>
      </c>
      <c r="D66" t="s">
        <v>234</v>
      </c>
      <c r="E66" t="s">
        <v>235</v>
      </c>
      <c r="F66" t="s">
        <v>235</v>
      </c>
      <c r="G66" t="s">
        <v>234</v>
      </c>
      <c r="H66" t="s">
        <v>235</v>
      </c>
      <c r="I66" t="s">
        <v>235</v>
      </c>
      <c r="J66" t="s">
        <v>234</v>
      </c>
      <c r="K66" t="s">
        <v>234</v>
      </c>
      <c r="L66" t="s">
        <v>234</v>
      </c>
      <c r="M66" t="s">
        <v>234</v>
      </c>
      <c r="N66" t="s">
        <v>235</v>
      </c>
      <c r="O66" t="s">
        <v>235</v>
      </c>
      <c r="P66" t="s">
        <v>235</v>
      </c>
      <c r="Q66" t="s">
        <v>235</v>
      </c>
      <c r="R66" t="s">
        <v>235</v>
      </c>
      <c r="S66" t="s">
        <v>235</v>
      </c>
      <c r="T66" t="s">
        <v>234</v>
      </c>
      <c r="U66" t="s">
        <v>234</v>
      </c>
      <c r="V66" t="s">
        <v>235</v>
      </c>
      <c r="W66" t="s">
        <v>235</v>
      </c>
      <c r="X66" t="s">
        <v>234</v>
      </c>
      <c r="Y66" t="s">
        <v>234</v>
      </c>
      <c r="Z66" t="s">
        <v>235</v>
      </c>
      <c r="AA66" t="s">
        <v>234</v>
      </c>
      <c r="AB66" t="s">
        <v>235</v>
      </c>
      <c r="AC66" s="28">
        <f t="shared" si="3"/>
        <v>0.66666666666666663</v>
      </c>
      <c r="AD66" s="28">
        <f t="shared" si="4"/>
        <v>0.53846153846153844</v>
      </c>
      <c r="AE66" s="28">
        <f t="shared" si="5"/>
        <v>0.5</v>
      </c>
    </row>
    <row r="67" spans="1:31" x14ac:dyDescent="0.45">
      <c r="A67" t="s">
        <v>43</v>
      </c>
      <c r="B67" t="s">
        <v>60</v>
      </c>
      <c r="D67" t="s">
        <v>235</v>
      </c>
      <c r="E67" t="s">
        <v>235</v>
      </c>
      <c r="F67" t="s">
        <v>235</v>
      </c>
      <c r="G67" t="s">
        <v>234</v>
      </c>
      <c r="H67" t="s">
        <v>235</v>
      </c>
      <c r="I67" t="s">
        <v>235</v>
      </c>
      <c r="J67" t="s">
        <v>234</v>
      </c>
      <c r="K67" t="s">
        <v>234</v>
      </c>
      <c r="L67" t="s">
        <v>234</v>
      </c>
      <c r="M67" t="s">
        <v>234</v>
      </c>
      <c r="N67" t="s">
        <v>234</v>
      </c>
      <c r="O67" t="s">
        <v>235</v>
      </c>
      <c r="P67" t="s">
        <v>235</v>
      </c>
      <c r="Q67" t="s">
        <v>235</v>
      </c>
      <c r="R67" t="s">
        <v>235</v>
      </c>
      <c r="S67" t="s">
        <v>235</v>
      </c>
      <c r="T67" t="s">
        <v>235</v>
      </c>
      <c r="U67" t="s">
        <v>234</v>
      </c>
      <c r="V67" t="s">
        <v>234</v>
      </c>
      <c r="W67" t="s">
        <v>235</v>
      </c>
      <c r="X67" t="s">
        <v>235</v>
      </c>
      <c r="Y67" t="s">
        <v>234</v>
      </c>
      <c r="Z67" t="s">
        <v>234</v>
      </c>
      <c r="AA67" t="s">
        <v>235</v>
      </c>
      <c r="AB67" t="s">
        <v>234</v>
      </c>
      <c r="AC67" s="28">
        <f t="shared" si="3"/>
        <v>0.83333333333333337</v>
      </c>
      <c r="AD67" s="28">
        <f t="shared" si="4"/>
        <v>0.46153846153846156</v>
      </c>
      <c r="AE67" s="28">
        <f t="shared" si="5"/>
        <v>0.5</v>
      </c>
    </row>
    <row r="68" spans="1:31" x14ac:dyDescent="0.45">
      <c r="A68" t="s">
        <v>43</v>
      </c>
      <c r="B68" t="s">
        <v>61</v>
      </c>
      <c r="D68" t="s">
        <v>234</v>
      </c>
      <c r="E68" t="s">
        <v>234</v>
      </c>
      <c r="F68" t="s">
        <v>234</v>
      </c>
      <c r="G68" t="s">
        <v>234</v>
      </c>
      <c r="H68" t="s">
        <v>234</v>
      </c>
      <c r="I68" t="s">
        <v>235</v>
      </c>
      <c r="J68" t="s">
        <v>234</v>
      </c>
      <c r="K68" t="s">
        <v>234</v>
      </c>
      <c r="L68" t="s">
        <v>234</v>
      </c>
      <c r="M68" t="s">
        <v>234</v>
      </c>
      <c r="N68" t="s">
        <v>234</v>
      </c>
      <c r="O68" t="s">
        <v>235</v>
      </c>
      <c r="P68" t="s">
        <v>235</v>
      </c>
      <c r="Q68" t="s">
        <v>235</v>
      </c>
      <c r="R68" t="s">
        <v>234</v>
      </c>
      <c r="S68" t="s">
        <v>235</v>
      </c>
      <c r="T68" t="s">
        <v>235</v>
      </c>
      <c r="U68" t="s">
        <v>234</v>
      </c>
      <c r="V68" t="s">
        <v>234</v>
      </c>
      <c r="W68" t="s">
        <v>235</v>
      </c>
      <c r="X68" t="s">
        <v>235</v>
      </c>
      <c r="Y68" t="s">
        <v>234</v>
      </c>
      <c r="Z68" t="s">
        <v>234</v>
      </c>
      <c r="AA68" t="s">
        <v>235</v>
      </c>
      <c r="AB68" t="s">
        <v>234</v>
      </c>
      <c r="AC68" s="28">
        <f t="shared" si="3"/>
        <v>0.16666666666666666</v>
      </c>
      <c r="AD68" s="28">
        <f t="shared" si="4"/>
        <v>0.38461538461538464</v>
      </c>
      <c r="AE68" s="28">
        <f t="shared" si="5"/>
        <v>0.5</v>
      </c>
    </row>
    <row r="69" spans="1:31" x14ac:dyDescent="0.45">
      <c r="A69" t="s">
        <v>43</v>
      </c>
      <c r="B69" t="s">
        <v>62</v>
      </c>
      <c r="D69" t="s">
        <v>235</v>
      </c>
      <c r="E69" t="s">
        <v>234</v>
      </c>
      <c r="F69" t="s">
        <v>235</v>
      </c>
      <c r="G69" t="s">
        <v>234</v>
      </c>
      <c r="H69" t="s">
        <v>235</v>
      </c>
      <c r="I69" t="s">
        <v>235</v>
      </c>
      <c r="J69" t="s">
        <v>234</v>
      </c>
      <c r="K69" t="s">
        <v>234</v>
      </c>
      <c r="L69" t="s">
        <v>234</v>
      </c>
      <c r="M69" t="s">
        <v>234</v>
      </c>
      <c r="N69" t="s">
        <v>235</v>
      </c>
      <c r="O69" t="s">
        <v>235</v>
      </c>
      <c r="P69" t="s">
        <v>234</v>
      </c>
      <c r="Q69" t="s">
        <v>235</v>
      </c>
      <c r="R69" t="s">
        <v>234</v>
      </c>
      <c r="S69" t="s">
        <v>235</v>
      </c>
      <c r="T69" t="s">
        <v>234</v>
      </c>
      <c r="U69" t="s">
        <v>234</v>
      </c>
      <c r="V69" t="s">
        <v>234</v>
      </c>
      <c r="W69" t="s">
        <v>235</v>
      </c>
      <c r="X69" t="s">
        <v>235</v>
      </c>
      <c r="Y69" t="s">
        <v>234</v>
      </c>
      <c r="Z69" t="s">
        <v>235</v>
      </c>
      <c r="AA69" t="s">
        <v>235</v>
      </c>
      <c r="AB69" t="s">
        <v>235</v>
      </c>
      <c r="AC69" s="28">
        <f t="shared" si="3"/>
        <v>0.66666666666666663</v>
      </c>
      <c r="AD69" s="28">
        <f t="shared" si="4"/>
        <v>0.30769230769230771</v>
      </c>
      <c r="AE69" s="28">
        <f t="shared" si="5"/>
        <v>0.83333333333333337</v>
      </c>
    </row>
    <row r="70" spans="1:31" x14ac:dyDescent="0.45">
      <c r="A70" t="s">
        <v>43</v>
      </c>
      <c r="B70" t="s">
        <v>63</v>
      </c>
      <c r="D70" t="s">
        <v>234</v>
      </c>
      <c r="E70" t="s">
        <v>234</v>
      </c>
      <c r="F70" t="s">
        <v>234</v>
      </c>
      <c r="G70" t="s">
        <v>235</v>
      </c>
      <c r="H70" t="s">
        <v>235</v>
      </c>
      <c r="I70" t="s">
        <v>234</v>
      </c>
      <c r="J70" t="s">
        <v>234</v>
      </c>
      <c r="K70" t="s">
        <v>235</v>
      </c>
      <c r="L70" t="s">
        <v>234</v>
      </c>
      <c r="M70" t="s">
        <v>234</v>
      </c>
      <c r="N70" t="s">
        <v>235</v>
      </c>
      <c r="O70" t="s">
        <v>235</v>
      </c>
      <c r="P70" t="s">
        <v>235</v>
      </c>
      <c r="Q70" t="s">
        <v>235</v>
      </c>
      <c r="R70" t="s">
        <v>235</v>
      </c>
      <c r="S70" t="s">
        <v>235</v>
      </c>
      <c r="T70" t="s">
        <v>235</v>
      </c>
      <c r="U70" t="s">
        <v>234</v>
      </c>
      <c r="V70" t="s">
        <v>234</v>
      </c>
      <c r="W70" t="s">
        <v>235</v>
      </c>
      <c r="X70" t="s">
        <v>235</v>
      </c>
      <c r="Y70" t="s">
        <v>234</v>
      </c>
      <c r="Z70" t="s">
        <v>235</v>
      </c>
      <c r="AA70" t="s">
        <v>234</v>
      </c>
      <c r="AB70" t="s">
        <v>235</v>
      </c>
      <c r="AC70" s="28">
        <f t="shared" si="3"/>
        <v>0.33333333333333331</v>
      </c>
      <c r="AD70" s="28">
        <f t="shared" si="4"/>
        <v>0.61538461538461542</v>
      </c>
      <c r="AE70" s="28">
        <f t="shared" si="5"/>
        <v>0.66666666666666663</v>
      </c>
    </row>
    <row r="71" spans="1:31" x14ac:dyDescent="0.45">
      <c r="AC71" s="28"/>
      <c r="AD71" s="28"/>
      <c r="AE71" s="28"/>
    </row>
    <row r="72" spans="1:31" x14ac:dyDescent="0.45">
      <c r="D72" t="s">
        <v>110</v>
      </c>
      <c r="E72" t="s">
        <v>110</v>
      </c>
      <c r="F72" t="s">
        <v>110</v>
      </c>
      <c r="G72" t="s">
        <v>110</v>
      </c>
      <c r="H72" t="s">
        <v>110</v>
      </c>
      <c r="I72" t="s">
        <v>110</v>
      </c>
      <c r="J72" t="s">
        <v>109</v>
      </c>
      <c r="K72" t="s">
        <v>109</v>
      </c>
      <c r="L72" t="s">
        <v>109</v>
      </c>
      <c r="M72" t="s">
        <v>109</v>
      </c>
      <c r="N72" t="s">
        <v>109</v>
      </c>
      <c r="O72" t="s">
        <v>109</v>
      </c>
      <c r="P72" t="s">
        <v>109</v>
      </c>
      <c r="Q72" t="s">
        <v>109</v>
      </c>
      <c r="R72" t="s">
        <v>109</v>
      </c>
      <c r="S72" t="s">
        <v>109</v>
      </c>
      <c r="T72" t="s">
        <v>109</v>
      </c>
      <c r="U72" t="s">
        <v>109</v>
      </c>
      <c r="V72" t="s">
        <v>109</v>
      </c>
      <c r="W72" t="s">
        <v>111</v>
      </c>
      <c r="X72" t="s">
        <v>111</v>
      </c>
      <c r="Y72" t="s">
        <v>111</v>
      </c>
      <c r="Z72" t="s">
        <v>111</v>
      </c>
      <c r="AA72" t="s">
        <v>111</v>
      </c>
      <c r="AB72" t="s">
        <v>111</v>
      </c>
      <c r="AC72" t="s">
        <v>110</v>
      </c>
      <c r="AD72" t="s">
        <v>109</v>
      </c>
      <c r="AE72" t="s">
        <v>111</v>
      </c>
    </row>
    <row r="73" spans="1:31" x14ac:dyDescent="0.45">
      <c r="A73" t="s">
        <v>164</v>
      </c>
      <c r="B73" t="s">
        <v>180</v>
      </c>
      <c r="D73" t="s">
        <v>235</v>
      </c>
      <c r="E73" t="s">
        <v>234</v>
      </c>
      <c r="F73" t="s">
        <v>235</v>
      </c>
      <c r="G73" t="s">
        <v>234</v>
      </c>
      <c r="H73" t="s">
        <v>235</v>
      </c>
      <c r="I73" t="s">
        <v>234</v>
      </c>
      <c r="J73" t="s">
        <v>235</v>
      </c>
      <c r="K73" t="s">
        <v>234</v>
      </c>
      <c r="L73" t="s">
        <v>234</v>
      </c>
      <c r="M73" t="s">
        <v>235</v>
      </c>
      <c r="N73" t="s">
        <v>235</v>
      </c>
      <c r="O73" t="s">
        <v>235</v>
      </c>
      <c r="P73" t="s">
        <v>235</v>
      </c>
      <c r="Q73" t="s">
        <v>234</v>
      </c>
      <c r="R73" t="s">
        <v>235</v>
      </c>
      <c r="S73" t="s">
        <v>235</v>
      </c>
      <c r="T73" t="s">
        <v>235</v>
      </c>
      <c r="U73" t="s">
        <v>234</v>
      </c>
      <c r="V73" t="s">
        <v>234</v>
      </c>
      <c r="W73" t="s">
        <v>235</v>
      </c>
      <c r="X73" t="s">
        <v>235</v>
      </c>
      <c r="Y73" t="s">
        <v>234</v>
      </c>
      <c r="Z73" t="s">
        <v>235</v>
      </c>
      <c r="AA73" t="s">
        <v>234</v>
      </c>
      <c r="AB73" t="s">
        <v>235</v>
      </c>
      <c r="AC73" s="28">
        <f t="shared" ref="AC73:AC100" si="6">(COUNTIF(D73:I73,"O")/6)</f>
        <v>0.5</v>
      </c>
      <c r="AD73" s="28">
        <f t="shared" ref="AD73:AD100" si="7">(COUNTIF(J73:V73,"O")/13)</f>
        <v>0.61538461538461542</v>
      </c>
      <c r="AE73" s="28">
        <f t="shared" ref="AE73:AE100" si="8">COUNTIF(W73:AB73,"O")/6</f>
        <v>0.66666666666666663</v>
      </c>
    </row>
    <row r="74" spans="1:31" x14ac:dyDescent="0.45">
      <c r="A74" t="s">
        <v>164</v>
      </c>
      <c r="B74" t="s">
        <v>73</v>
      </c>
      <c r="D74" t="s">
        <v>235</v>
      </c>
      <c r="E74" t="s">
        <v>235</v>
      </c>
      <c r="F74" t="s">
        <v>235</v>
      </c>
      <c r="G74" t="s">
        <v>234</v>
      </c>
      <c r="H74" t="s">
        <v>235</v>
      </c>
      <c r="I74" t="s">
        <v>235</v>
      </c>
      <c r="J74" t="s">
        <v>235</v>
      </c>
      <c r="K74" t="s">
        <v>235</v>
      </c>
      <c r="L74" t="s">
        <v>235</v>
      </c>
      <c r="M74" t="s">
        <v>235</v>
      </c>
      <c r="N74" t="s">
        <v>235</v>
      </c>
      <c r="O74" t="s">
        <v>235</v>
      </c>
      <c r="P74" t="s">
        <v>235</v>
      </c>
      <c r="Q74" t="s">
        <v>234</v>
      </c>
      <c r="R74" t="s">
        <v>235</v>
      </c>
      <c r="S74" t="s">
        <v>235</v>
      </c>
      <c r="T74" t="s">
        <v>235</v>
      </c>
      <c r="U74" t="s">
        <v>234</v>
      </c>
      <c r="V74" t="s">
        <v>234</v>
      </c>
      <c r="W74" t="s">
        <v>235</v>
      </c>
      <c r="X74" t="s">
        <v>234</v>
      </c>
      <c r="Y74" t="s">
        <v>234</v>
      </c>
      <c r="Z74" t="s">
        <v>235</v>
      </c>
      <c r="AA74" t="s">
        <v>234</v>
      </c>
      <c r="AB74" t="s">
        <v>235</v>
      </c>
      <c r="AC74" s="28">
        <f t="shared" si="6"/>
        <v>0.83333333333333337</v>
      </c>
      <c r="AD74" s="28">
        <f t="shared" si="7"/>
        <v>0.76923076923076927</v>
      </c>
      <c r="AE74" s="28">
        <f t="shared" si="8"/>
        <v>0.5</v>
      </c>
    </row>
    <row r="75" spans="1:31" x14ac:dyDescent="0.45">
      <c r="A75" t="s">
        <v>164</v>
      </c>
      <c r="B75" t="s">
        <v>74</v>
      </c>
      <c r="D75" t="s">
        <v>235</v>
      </c>
      <c r="E75" t="s">
        <v>235</v>
      </c>
      <c r="F75" t="s">
        <v>235</v>
      </c>
      <c r="G75" t="s">
        <v>235</v>
      </c>
      <c r="H75" t="s">
        <v>235</v>
      </c>
      <c r="I75" t="s">
        <v>235</v>
      </c>
      <c r="J75" t="s">
        <v>235</v>
      </c>
      <c r="K75" t="s">
        <v>235</v>
      </c>
      <c r="L75" t="s">
        <v>235</v>
      </c>
      <c r="M75" t="s">
        <v>235</v>
      </c>
      <c r="N75" t="s">
        <v>235</v>
      </c>
      <c r="O75" t="s">
        <v>235</v>
      </c>
      <c r="P75" t="s">
        <v>235</v>
      </c>
      <c r="Q75" t="s">
        <v>234</v>
      </c>
      <c r="R75" t="s">
        <v>235</v>
      </c>
      <c r="S75" t="s">
        <v>234</v>
      </c>
      <c r="T75" t="s">
        <v>235</v>
      </c>
      <c r="U75" t="s">
        <v>234</v>
      </c>
      <c r="V75" t="s">
        <v>235</v>
      </c>
      <c r="W75" t="s">
        <v>235</v>
      </c>
      <c r="X75" t="s">
        <v>235</v>
      </c>
      <c r="Y75" t="s">
        <v>235</v>
      </c>
      <c r="Z75" t="s">
        <v>235</v>
      </c>
      <c r="AA75" t="s">
        <v>235</v>
      </c>
      <c r="AB75" t="s">
        <v>235</v>
      </c>
      <c r="AC75" s="28">
        <f t="shared" si="6"/>
        <v>1</v>
      </c>
      <c r="AD75" s="28">
        <f t="shared" si="7"/>
        <v>0.76923076923076927</v>
      </c>
      <c r="AE75" s="28">
        <f t="shared" si="8"/>
        <v>1</v>
      </c>
    </row>
    <row r="76" spans="1:31" x14ac:dyDescent="0.45">
      <c r="A76" t="s">
        <v>164</v>
      </c>
      <c r="B76" t="s">
        <v>75</v>
      </c>
      <c r="D76" t="s">
        <v>235</v>
      </c>
      <c r="E76" t="s">
        <v>235</v>
      </c>
      <c r="F76" t="s">
        <v>235</v>
      </c>
      <c r="G76" t="s">
        <v>234</v>
      </c>
      <c r="H76" t="s">
        <v>235</v>
      </c>
      <c r="I76" t="s">
        <v>235</v>
      </c>
      <c r="J76" t="s">
        <v>235</v>
      </c>
      <c r="K76" t="s">
        <v>234</v>
      </c>
      <c r="L76" t="s">
        <v>234</v>
      </c>
      <c r="M76" t="s">
        <v>235</v>
      </c>
      <c r="N76" t="s">
        <v>235</v>
      </c>
      <c r="O76" t="s">
        <v>235</v>
      </c>
      <c r="P76" t="s">
        <v>235</v>
      </c>
      <c r="Q76" t="s">
        <v>235</v>
      </c>
      <c r="R76" t="s">
        <v>235</v>
      </c>
      <c r="S76" t="s">
        <v>235</v>
      </c>
      <c r="T76" t="s">
        <v>235</v>
      </c>
      <c r="U76" t="s">
        <v>234</v>
      </c>
      <c r="V76" t="s">
        <v>235</v>
      </c>
      <c r="W76" t="s">
        <v>235</v>
      </c>
      <c r="X76" t="s">
        <v>235</v>
      </c>
      <c r="Y76" t="s">
        <v>235</v>
      </c>
      <c r="Z76" t="s">
        <v>235</v>
      </c>
      <c r="AA76" t="s">
        <v>235</v>
      </c>
      <c r="AB76" t="s">
        <v>235</v>
      </c>
      <c r="AC76" s="28">
        <f t="shared" si="6"/>
        <v>0.83333333333333337</v>
      </c>
      <c r="AD76" s="28">
        <f t="shared" si="7"/>
        <v>0.76923076923076927</v>
      </c>
      <c r="AE76" s="28">
        <f t="shared" si="8"/>
        <v>1</v>
      </c>
    </row>
    <row r="77" spans="1:31" x14ac:dyDescent="0.45">
      <c r="A77" t="s">
        <v>164</v>
      </c>
      <c r="B77" t="s">
        <v>76</v>
      </c>
      <c r="D77" t="s">
        <v>235</v>
      </c>
      <c r="E77" t="s">
        <v>235</v>
      </c>
      <c r="F77" t="s">
        <v>234</v>
      </c>
      <c r="G77" t="s">
        <v>235</v>
      </c>
      <c r="H77" t="s">
        <v>235</v>
      </c>
      <c r="I77" t="s">
        <v>235</v>
      </c>
      <c r="J77" t="s">
        <v>235</v>
      </c>
      <c r="K77" t="s">
        <v>234</v>
      </c>
      <c r="L77" t="s">
        <v>234</v>
      </c>
      <c r="M77" t="s">
        <v>235</v>
      </c>
      <c r="N77" t="s">
        <v>235</v>
      </c>
      <c r="O77" t="s">
        <v>234</v>
      </c>
      <c r="P77" t="s">
        <v>235</v>
      </c>
      <c r="Q77" t="s">
        <v>235</v>
      </c>
      <c r="R77" t="s">
        <v>235</v>
      </c>
      <c r="S77" t="s">
        <v>235</v>
      </c>
      <c r="T77" t="s">
        <v>234</v>
      </c>
      <c r="U77" t="s">
        <v>234</v>
      </c>
      <c r="V77" t="s">
        <v>234</v>
      </c>
      <c r="W77" t="s">
        <v>235</v>
      </c>
      <c r="X77" t="s">
        <v>235</v>
      </c>
      <c r="Y77" t="s">
        <v>235</v>
      </c>
      <c r="Z77" t="s">
        <v>235</v>
      </c>
      <c r="AA77" t="s">
        <v>235</v>
      </c>
      <c r="AB77" t="s">
        <v>235</v>
      </c>
      <c r="AC77" s="28">
        <f t="shared" si="6"/>
        <v>0.83333333333333337</v>
      </c>
      <c r="AD77" s="28">
        <f t="shared" si="7"/>
        <v>0.53846153846153844</v>
      </c>
      <c r="AE77" s="28">
        <f t="shared" si="8"/>
        <v>1</v>
      </c>
    </row>
    <row r="78" spans="1:31" x14ac:dyDescent="0.45">
      <c r="A78" t="s">
        <v>164</v>
      </c>
      <c r="B78" t="s">
        <v>77</v>
      </c>
      <c r="D78" t="s">
        <v>235</v>
      </c>
      <c r="E78" t="s">
        <v>235</v>
      </c>
      <c r="F78" t="s">
        <v>235</v>
      </c>
      <c r="G78" t="s">
        <v>234</v>
      </c>
      <c r="H78" t="s">
        <v>235</v>
      </c>
      <c r="I78" t="s">
        <v>235</v>
      </c>
      <c r="J78" t="s">
        <v>235</v>
      </c>
      <c r="K78" t="s">
        <v>235</v>
      </c>
      <c r="L78" t="s">
        <v>235</v>
      </c>
      <c r="M78" t="s">
        <v>235</v>
      </c>
      <c r="N78" t="s">
        <v>235</v>
      </c>
      <c r="O78" t="s">
        <v>235</v>
      </c>
      <c r="P78" t="s">
        <v>235</v>
      </c>
      <c r="Q78" t="s">
        <v>235</v>
      </c>
      <c r="R78" t="s">
        <v>235</v>
      </c>
      <c r="S78" t="s">
        <v>235</v>
      </c>
      <c r="T78" t="s">
        <v>234</v>
      </c>
      <c r="U78" t="s">
        <v>234</v>
      </c>
      <c r="V78" t="s">
        <v>235</v>
      </c>
      <c r="W78" t="s">
        <v>235</v>
      </c>
      <c r="X78" t="s">
        <v>235</v>
      </c>
      <c r="Y78" t="s">
        <v>235</v>
      </c>
      <c r="Z78" t="s">
        <v>235</v>
      </c>
      <c r="AA78" t="s">
        <v>235</v>
      </c>
      <c r="AB78" t="s">
        <v>235</v>
      </c>
      <c r="AC78" s="28">
        <f t="shared" si="6"/>
        <v>0.83333333333333337</v>
      </c>
      <c r="AD78" s="28">
        <f t="shared" si="7"/>
        <v>0.84615384615384615</v>
      </c>
      <c r="AE78" s="28">
        <f t="shared" si="8"/>
        <v>1</v>
      </c>
    </row>
    <row r="79" spans="1:31" x14ac:dyDescent="0.45">
      <c r="A79" t="s">
        <v>164</v>
      </c>
      <c r="B79" t="s">
        <v>78</v>
      </c>
      <c r="D79" t="s">
        <v>235</v>
      </c>
      <c r="E79" t="s">
        <v>235</v>
      </c>
      <c r="F79" t="s">
        <v>235</v>
      </c>
      <c r="G79" t="s">
        <v>235</v>
      </c>
      <c r="H79" t="s">
        <v>235</v>
      </c>
      <c r="I79" t="s">
        <v>235</v>
      </c>
      <c r="J79" t="s">
        <v>234</v>
      </c>
      <c r="K79" t="s">
        <v>235</v>
      </c>
      <c r="L79" t="s">
        <v>235</v>
      </c>
      <c r="M79" t="s">
        <v>235</v>
      </c>
      <c r="N79" t="s">
        <v>235</v>
      </c>
      <c r="O79" t="s">
        <v>235</v>
      </c>
      <c r="P79" t="s">
        <v>235</v>
      </c>
      <c r="Q79" t="s">
        <v>234</v>
      </c>
      <c r="R79" t="s">
        <v>235</v>
      </c>
      <c r="S79" t="s">
        <v>234</v>
      </c>
      <c r="T79" t="s">
        <v>235</v>
      </c>
      <c r="U79" t="s">
        <v>234</v>
      </c>
      <c r="V79" t="s">
        <v>234</v>
      </c>
      <c r="W79" t="s">
        <v>235</v>
      </c>
      <c r="X79" t="s">
        <v>235</v>
      </c>
      <c r="Y79" t="s">
        <v>235</v>
      </c>
      <c r="Z79" t="s">
        <v>234</v>
      </c>
      <c r="AA79" t="s">
        <v>235</v>
      </c>
      <c r="AB79" t="s">
        <v>235</v>
      </c>
      <c r="AC79" s="28">
        <f t="shared" si="6"/>
        <v>1</v>
      </c>
      <c r="AD79" s="28">
        <f t="shared" si="7"/>
        <v>0.61538461538461542</v>
      </c>
      <c r="AE79" s="28">
        <f t="shared" si="8"/>
        <v>0.83333333333333337</v>
      </c>
    </row>
    <row r="80" spans="1:31" x14ac:dyDescent="0.45">
      <c r="A80" t="s">
        <v>164</v>
      </c>
      <c r="B80" t="s">
        <v>79</v>
      </c>
      <c r="D80" t="s">
        <v>235</v>
      </c>
      <c r="E80" t="s">
        <v>235</v>
      </c>
      <c r="F80" t="s">
        <v>235</v>
      </c>
      <c r="G80" t="s">
        <v>234</v>
      </c>
      <c r="H80" t="s">
        <v>235</v>
      </c>
      <c r="I80" t="s">
        <v>235</v>
      </c>
      <c r="J80" t="s">
        <v>235</v>
      </c>
      <c r="K80" t="s">
        <v>234</v>
      </c>
      <c r="L80" t="s">
        <v>235</v>
      </c>
      <c r="M80" t="s">
        <v>235</v>
      </c>
      <c r="N80" t="s">
        <v>235</v>
      </c>
      <c r="O80" t="s">
        <v>235</v>
      </c>
      <c r="P80" t="s">
        <v>235</v>
      </c>
      <c r="Q80" t="s">
        <v>235</v>
      </c>
      <c r="R80" t="s">
        <v>235</v>
      </c>
      <c r="S80" t="s">
        <v>235</v>
      </c>
      <c r="T80" t="s">
        <v>235</v>
      </c>
      <c r="U80" t="s">
        <v>234</v>
      </c>
      <c r="V80" t="s">
        <v>234</v>
      </c>
      <c r="W80" t="s">
        <v>235</v>
      </c>
      <c r="X80" t="s">
        <v>235</v>
      </c>
      <c r="Y80" t="s">
        <v>235</v>
      </c>
      <c r="Z80" t="s">
        <v>235</v>
      </c>
      <c r="AA80" t="s">
        <v>235</v>
      </c>
      <c r="AB80" t="s">
        <v>235</v>
      </c>
      <c r="AC80" s="28">
        <f t="shared" si="6"/>
        <v>0.83333333333333337</v>
      </c>
      <c r="AD80" s="28">
        <f t="shared" si="7"/>
        <v>0.76923076923076927</v>
      </c>
      <c r="AE80" s="28">
        <f t="shared" si="8"/>
        <v>1</v>
      </c>
    </row>
    <row r="81" spans="1:31" x14ac:dyDescent="0.45">
      <c r="A81" t="s">
        <v>164</v>
      </c>
      <c r="B81" t="s">
        <v>80</v>
      </c>
      <c r="D81" t="s">
        <v>234</v>
      </c>
      <c r="E81" t="s">
        <v>235</v>
      </c>
      <c r="F81" t="s">
        <v>235</v>
      </c>
      <c r="G81" t="s">
        <v>235</v>
      </c>
      <c r="H81" t="s">
        <v>235</v>
      </c>
      <c r="I81" t="s">
        <v>235</v>
      </c>
      <c r="J81" t="s">
        <v>235</v>
      </c>
      <c r="K81" t="s">
        <v>234</v>
      </c>
      <c r="L81" t="s">
        <v>234</v>
      </c>
      <c r="M81" t="s">
        <v>235</v>
      </c>
      <c r="N81" t="s">
        <v>235</v>
      </c>
      <c r="O81" t="s">
        <v>235</v>
      </c>
      <c r="P81" t="s">
        <v>235</v>
      </c>
      <c r="Q81" t="s">
        <v>235</v>
      </c>
      <c r="R81" t="s">
        <v>235</v>
      </c>
      <c r="S81" t="s">
        <v>235</v>
      </c>
      <c r="T81" t="s">
        <v>235</v>
      </c>
      <c r="U81" t="s">
        <v>234</v>
      </c>
      <c r="V81" t="s">
        <v>234</v>
      </c>
      <c r="W81" t="s">
        <v>235</v>
      </c>
      <c r="X81" t="s">
        <v>235</v>
      </c>
      <c r="Y81" t="s">
        <v>234</v>
      </c>
      <c r="Z81" t="s">
        <v>235</v>
      </c>
      <c r="AA81" t="s">
        <v>234</v>
      </c>
      <c r="AB81" t="s">
        <v>235</v>
      </c>
      <c r="AC81" s="28">
        <f t="shared" si="6"/>
        <v>0.83333333333333337</v>
      </c>
      <c r="AD81" s="28">
        <f t="shared" si="7"/>
        <v>0.69230769230769229</v>
      </c>
      <c r="AE81" s="28">
        <f t="shared" si="8"/>
        <v>0.66666666666666663</v>
      </c>
    </row>
    <row r="82" spans="1:31" x14ac:dyDescent="0.45">
      <c r="A82" t="s">
        <v>164</v>
      </c>
      <c r="B82" t="s">
        <v>81</v>
      </c>
      <c r="D82" t="s">
        <v>234</v>
      </c>
      <c r="E82" t="s">
        <v>234</v>
      </c>
      <c r="F82" t="s">
        <v>235</v>
      </c>
      <c r="G82" t="s">
        <v>234</v>
      </c>
      <c r="H82" t="s">
        <v>234</v>
      </c>
      <c r="I82" t="s">
        <v>235</v>
      </c>
      <c r="J82" t="s">
        <v>234</v>
      </c>
      <c r="K82" t="s">
        <v>234</v>
      </c>
      <c r="L82" t="s">
        <v>234</v>
      </c>
      <c r="M82" t="s">
        <v>234</v>
      </c>
      <c r="N82" t="s">
        <v>235</v>
      </c>
      <c r="O82" t="s">
        <v>235</v>
      </c>
      <c r="P82" t="s">
        <v>235</v>
      </c>
      <c r="Q82" t="s">
        <v>235</v>
      </c>
      <c r="R82" t="s">
        <v>235</v>
      </c>
      <c r="S82" t="s">
        <v>235</v>
      </c>
      <c r="T82" t="s">
        <v>235</v>
      </c>
      <c r="U82" t="s">
        <v>234</v>
      </c>
      <c r="V82" t="s">
        <v>234</v>
      </c>
      <c r="W82" t="s">
        <v>235</v>
      </c>
      <c r="X82" t="s">
        <v>235</v>
      </c>
      <c r="Y82" t="s">
        <v>234</v>
      </c>
      <c r="Z82" t="s">
        <v>235</v>
      </c>
      <c r="AA82" t="s">
        <v>235</v>
      </c>
      <c r="AB82" t="s">
        <v>235</v>
      </c>
      <c r="AC82" s="28">
        <f t="shared" si="6"/>
        <v>0.33333333333333331</v>
      </c>
      <c r="AD82" s="28">
        <f t="shared" si="7"/>
        <v>0.53846153846153844</v>
      </c>
      <c r="AE82" s="28">
        <f t="shared" si="8"/>
        <v>0.83333333333333337</v>
      </c>
    </row>
    <row r="83" spans="1:31" x14ac:dyDescent="0.45">
      <c r="A83" t="s">
        <v>164</v>
      </c>
      <c r="B83" t="s">
        <v>82</v>
      </c>
      <c r="D83" t="s">
        <v>234</v>
      </c>
      <c r="E83" t="s">
        <v>235</v>
      </c>
      <c r="F83" t="s">
        <v>235</v>
      </c>
      <c r="G83" t="s">
        <v>235</v>
      </c>
      <c r="H83" t="s">
        <v>235</v>
      </c>
      <c r="I83" t="s">
        <v>235</v>
      </c>
      <c r="J83" t="s">
        <v>235</v>
      </c>
      <c r="K83" t="s">
        <v>234</v>
      </c>
      <c r="L83" t="s">
        <v>235</v>
      </c>
      <c r="M83" t="s">
        <v>235</v>
      </c>
      <c r="N83" t="s">
        <v>235</v>
      </c>
      <c r="O83" t="s">
        <v>235</v>
      </c>
      <c r="P83" t="s">
        <v>235</v>
      </c>
      <c r="Q83" t="s">
        <v>235</v>
      </c>
      <c r="R83" t="s">
        <v>235</v>
      </c>
      <c r="S83" t="s">
        <v>235</v>
      </c>
      <c r="T83" t="s">
        <v>235</v>
      </c>
      <c r="U83" t="s">
        <v>234</v>
      </c>
      <c r="V83" t="s">
        <v>234</v>
      </c>
      <c r="W83" t="s">
        <v>235</v>
      </c>
      <c r="X83" t="s">
        <v>235</v>
      </c>
      <c r="Y83" t="s">
        <v>235</v>
      </c>
      <c r="Z83" t="s">
        <v>235</v>
      </c>
      <c r="AA83" t="s">
        <v>235</v>
      </c>
      <c r="AB83" t="s">
        <v>235</v>
      </c>
      <c r="AC83" s="28">
        <f t="shared" si="6"/>
        <v>0.83333333333333337</v>
      </c>
      <c r="AD83" s="28">
        <f t="shared" si="7"/>
        <v>0.76923076923076927</v>
      </c>
      <c r="AE83" s="28">
        <f t="shared" si="8"/>
        <v>1</v>
      </c>
    </row>
    <row r="84" spans="1:31" x14ac:dyDescent="0.45">
      <c r="A84" t="s">
        <v>164</v>
      </c>
      <c r="B84" t="s">
        <v>83</v>
      </c>
      <c r="D84" t="s">
        <v>234</v>
      </c>
      <c r="E84" t="s">
        <v>235</v>
      </c>
      <c r="F84" t="s">
        <v>235</v>
      </c>
      <c r="G84" t="s">
        <v>235</v>
      </c>
      <c r="H84" t="s">
        <v>235</v>
      </c>
      <c r="I84" t="s">
        <v>235</v>
      </c>
      <c r="J84" t="s">
        <v>235</v>
      </c>
      <c r="K84" t="s">
        <v>234</v>
      </c>
      <c r="L84" t="s">
        <v>234</v>
      </c>
      <c r="M84" t="s">
        <v>235</v>
      </c>
      <c r="N84" t="s">
        <v>235</v>
      </c>
      <c r="O84" t="s">
        <v>235</v>
      </c>
      <c r="P84" t="s">
        <v>235</v>
      </c>
      <c r="Q84" t="s">
        <v>235</v>
      </c>
      <c r="R84" t="s">
        <v>235</v>
      </c>
      <c r="S84" t="s">
        <v>235</v>
      </c>
      <c r="T84" t="s">
        <v>235</v>
      </c>
      <c r="U84" t="s">
        <v>234</v>
      </c>
      <c r="V84" t="s">
        <v>234</v>
      </c>
      <c r="W84" t="s">
        <v>235</v>
      </c>
      <c r="X84" t="s">
        <v>235</v>
      </c>
      <c r="Y84" t="s">
        <v>235</v>
      </c>
      <c r="Z84" t="s">
        <v>234</v>
      </c>
      <c r="AA84" t="s">
        <v>235</v>
      </c>
      <c r="AB84" t="s">
        <v>235</v>
      </c>
      <c r="AC84" s="28">
        <f t="shared" si="6"/>
        <v>0.83333333333333337</v>
      </c>
      <c r="AD84" s="28">
        <f t="shared" si="7"/>
        <v>0.69230769230769229</v>
      </c>
      <c r="AE84" s="28">
        <f t="shared" si="8"/>
        <v>0.83333333333333337</v>
      </c>
    </row>
    <row r="85" spans="1:31" x14ac:dyDescent="0.45">
      <c r="A85" t="s">
        <v>164</v>
      </c>
      <c r="B85" t="s">
        <v>84</v>
      </c>
      <c r="D85" t="s">
        <v>235</v>
      </c>
      <c r="E85" t="s">
        <v>235</v>
      </c>
      <c r="F85" t="s">
        <v>235</v>
      </c>
      <c r="G85" t="s">
        <v>235</v>
      </c>
      <c r="H85" t="s">
        <v>235</v>
      </c>
      <c r="I85" t="s">
        <v>235</v>
      </c>
      <c r="J85" t="s">
        <v>234</v>
      </c>
      <c r="K85" t="s">
        <v>234</v>
      </c>
      <c r="L85" t="s">
        <v>234</v>
      </c>
      <c r="M85" t="s">
        <v>235</v>
      </c>
      <c r="N85" t="s">
        <v>234</v>
      </c>
      <c r="O85" t="s">
        <v>234</v>
      </c>
      <c r="P85" t="s">
        <v>235</v>
      </c>
      <c r="Q85" t="s">
        <v>235</v>
      </c>
      <c r="R85" t="s">
        <v>235</v>
      </c>
      <c r="S85" t="s">
        <v>235</v>
      </c>
      <c r="T85" t="s">
        <v>235</v>
      </c>
      <c r="U85" t="s">
        <v>234</v>
      </c>
      <c r="V85" t="s">
        <v>234</v>
      </c>
      <c r="W85" t="s">
        <v>235</v>
      </c>
      <c r="X85" t="s">
        <v>235</v>
      </c>
      <c r="Y85" t="s">
        <v>235</v>
      </c>
      <c r="Z85" t="s">
        <v>234</v>
      </c>
      <c r="AA85" t="s">
        <v>235</v>
      </c>
      <c r="AB85" t="s">
        <v>235</v>
      </c>
      <c r="AC85" s="28">
        <f t="shared" si="6"/>
        <v>1</v>
      </c>
      <c r="AD85" s="28">
        <f t="shared" si="7"/>
        <v>0.46153846153846156</v>
      </c>
      <c r="AE85" s="28">
        <f t="shared" si="8"/>
        <v>0.83333333333333337</v>
      </c>
    </row>
    <row r="86" spans="1:31" x14ac:dyDescent="0.45">
      <c r="A86" t="s">
        <v>164</v>
      </c>
      <c r="B86" t="s">
        <v>85</v>
      </c>
      <c r="D86" t="s">
        <v>235</v>
      </c>
      <c r="E86" t="s">
        <v>235</v>
      </c>
      <c r="F86" t="s">
        <v>235</v>
      </c>
      <c r="G86" t="s">
        <v>235</v>
      </c>
      <c r="H86" t="s">
        <v>235</v>
      </c>
      <c r="I86" t="s">
        <v>235</v>
      </c>
      <c r="J86" t="s">
        <v>235</v>
      </c>
      <c r="K86" t="s">
        <v>234</v>
      </c>
      <c r="L86" t="s">
        <v>235</v>
      </c>
      <c r="M86" t="s">
        <v>235</v>
      </c>
      <c r="N86" t="s">
        <v>235</v>
      </c>
      <c r="O86" t="s">
        <v>235</v>
      </c>
      <c r="P86" t="s">
        <v>235</v>
      </c>
      <c r="Q86" t="s">
        <v>235</v>
      </c>
      <c r="R86" t="s">
        <v>235</v>
      </c>
      <c r="S86" t="s">
        <v>235</v>
      </c>
      <c r="T86" t="s">
        <v>235</v>
      </c>
      <c r="U86" t="s">
        <v>234</v>
      </c>
      <c r="V86" t="s">
        <v>234</v>
      </c>
      <c r="W86" t="s">
        <v>235</v>
      </c>
      <c r="X86" t="s">
        <v>235</v>
      </c>
      <c r="Y86" t="s">
        <v>234</v>
      </c>
      <c r="Z86" t="s">
        <v>235</v>
      </c>
      <c r="AA86" t="s">
        <v>235</v>
      </c>
      <c r="AB86" t="s">
        <v>235</v>
      </c>
      <c r="AC86" s="28">
        <f t="shared" si="6"/>
        <v>1</v>
      </c>
      <c r="AD86" s="28">
        <f t="shared" si="7"/>
        <v>0.76923076923076927</v>
      </c>
      <c r="AE86" s="28">
        <f t="shared" si="8"/>
        <v>0.83333333333333337</v>
      </c>
    </row>
    <row r="87" spans="1:31" x14ac:dyDescent="0.45">
      <c r="A87" t="s">
        <v>164</v>
      </c>
      <c r="B87" t="s">
        <v>86</v>
      </c>
      <c r="D87" t="s">
        <v>235</v>
      </c>
      <c r="E87" t="s">
        <v>235</v>
      </c>
      <c r="F87" t="s">
        <v>234</v>
      </c>
      <c r="G87" t="s">
        <v>235</v>
      </c>
      <c r="H87" t="s">
        <v>235</v>
      </c>
      <c r="I87" t="s">
        <v>235</v>
      </c>
      <c r="J87" t="s">
        <v>235</v>
      </c>
      <c r="K87" t="s">
        <v>234</v>
      </c>
      <c r="L87" t="s">
        <v>234</v>
      </c>
      <c r="M87" t="s">
        <v>235</v>
      </c>
      <c r="N87" t="s">
        <v>235</v>
      </c>
      <c r="O87" t="s">
        <v>235</v>
      </c>
      <c r="P87" t="s">
        <v>235</v>
      </c>
      <c r="Q87" t="s">
        <v>235</v>
      </c>
      <c r="R87" t="s">
        <v>235</v>
      </c>
      <c r="S87" t="s">
        <v>235</v>
      </c>
      <c r="T87" t="s">
        <v>235</v>
      </c>
      <c r="U87" t="s">
        <v>234</v>
      </c>
      <c r="V87" t="s">
        <v>235</v>
      </c>
      <c r="W87" t="s">
        <v>235</v>
      </c>
      <c r="X87" t="s">
        <v>235</v>
      </c>
      <c r="Y87" t="s">
        <v>234</v>
      </c>
      <c r="Z87" t="s">
        <v>234</v>
      </c>
      <c r="AA87" t="s">
        <v>235</v>
      </c>
      <c r="AB87" t="s">
        <v>235</v>
      </c>
      <c r="AC87" s="28">
        <f t="shared" si="6"/>
        <v>0.83333333333333337</v>
      </c>
      <c r="AD87" s="28">
        <f t="shared" si="7"/>
        <v>0.76923076923076927</v>
      </c>
      <c r="AE87" s="28">
        <f t="shared" si="8"/>
        <v>0.66666666666666663</v>
      </c>
    </row>
    <row r="88" spans="1:31" x14ac:dyDescent="0.45">
      <c r="A88" t="s">
        <v>164</v>
      </c>
      <c r="B88" t="s">
        <v>87</v>
      </c>
      <c r="D88" t="s">
        <v>235</v>
      </c>
      <c r="E88" t="s">
        <v>235</v>
      </c>
      <c r="F88" t="s">
        <v>234</v>
      </c>
      <c r="G88" t="s">
        <v>235</v>
      </c>
      <c r="H88" t="s">
        <v>235</v>
      </c>
      <c r="I88" t="s">
        <v>235</v>
      </c>
      <c r="J88" t="s">
        <v>235</v>
      </c>
      <c r="K88" t="s">
        <v>234</v>
      </c>
      <c r="L88" t="s">
        <v>234</v>
      </c>
      <c r="M88" t="s">
        <v>235</v>
      </c>
      <c r="N88" t="s">
        <v>235</v>
      </c>
      <c r="O88" t="s">
        <v>235</v>
      </c>
      <c r="P88" t="s">
        <v>234</v>
      </c>
      <c r="Q88" t="s">
        <v>235</v>
      </c>
      <c r="R88" t="s">
        <v>235</v>
      </c>
      <c r="S88" t="s">
        <v>235</v>
      </c>
      <c r="T88" t="s">
        <v>235</v>
      </c>
      <c r="U88" t="s">
        <v>235</v>
      </c>
      <c r="V88" t="s">
        <v>235</v>
      </c>
      <c r="W88" t="s">
        <v>235</v>
      </c>
      <c r="X88" t="s">
        <v>235</v>
      </c>
      <c r="Y88" t="s">
        <v>234</v>
      </c>
      <c r="Z88" t="s">
        <v>234</v>
      </c>
      <c r="AA88" t="s">
        <v>234</v>
      </c>
      <c r="AB88" t="s">
        <v>234</v>
      </c>
      <c r="AC88" s="28">
        <f t="shared" si="6"/>
        <v>0.83333333333333337</v>
      </c>
      <c r="AD88" s="28">
        <f t="shared" si="7"/>
        <v>0.76923076923076927</v>
      </c>
      <c r="AE88" s="28">
        <f t="shared" si="8"/>
        <v>0.33333333333333331</v>
      </c>
    </row>
    <row r="89" spans="1:31" x14ac:dyDescent="0.45">
      <c r="A89" t="s">
        <v>164</v>
      </c>
      <c r="B89" t="s">
        <v>88</v>
      </c>
      <c r="D89" t="s">
        <v>234</v>
      </c>
      <c r="E89" t="s">
        <v>234</v>
      </c>
      <c r="F89" t="s">
        <v>235</v>
      </c>
      <c r="G89" t="s">
        <v>234</v>
      </c>
      <c r="H89" t="s">
        <v>234</v>
      </c>
      <c r="I89" t="s">
        <v>235</v>
      </c>
      <c r="J89" t="s">
        <v>235</v>
      </c>
      <c r="K89" t="s">
        <v>234</v>
      </c>
      <c r="L89" t="s">
        <v>235</v>
      </c>
      <c r="M89" t="s">
        <v>235</v>
      </c>
      <c r="N89" t="s">
        <v>235</v>
      </c>
      <c r="O89" t="s">
        <v>235</v>
      </c>
      <c r="P89" t="s">
        <v>235</v>
      </c>
      <c r="Q89" t="s">
        <v>235</v>
      </c>
      <c r="R89" t="s">
        <v>235</v>
      </c>
      <c r="S89" t="s">
        <v>235</v>
      </c>
      <c r="T89" t="s">
        <v>235</v>
      </c>
      <c r="U89" t="s">
        <v>234</v>
      </c>
      <c r="V89" t="s">
        <v>235</v>
      </c>
      <c r="W89" t="s">
        <v>235</v>
      </c>
      <c r="X89" t="s">
        <v>235</v>
      </c>
      <c r="Y89" t="s">
        <v>235</v>
      </c>
      <c r="Z89" t="s">
        <v>235</v>
      </c>
      <c r="AA89" t="s">
        <v>234</v>
      </c>
      <c r="AB89" t="s">
        <v>235</v>
      </c>
      <c r="AC89" s="28">
        <f t="shared" si="6"/>
        <v>0.33333333333333331</v>
      </c>
      <c r="AD89" s="28">
        <f t="shared" si="7"/>
        <v>0.84615384615384615</v>
      </c>
      <c r="AE89" s="28">
        <f t="shared" si="8"/>
        <v>0.83333333333333337</v>
      </c>
    </row>
    <row r="90" spans="1:31" x14ac:dyDescent="0.45">
      <c r="A90" t="s">
        <v>164</v>
      </c>
      <c r="B90" t="s">
        <v>89</v>
      </c>
      <c r="D90" t="s">
        <v>235</v>
      </c>
      <c r="E90" t="s">
        <v>235</v>
      </c>
      <c r="F90" t="s">
        <v>235</v>
      </c>
      <c r="G90" t="s">
        <v>234</v>
      </c>
      <c r="H90" t="s">
        <v>234</v>
      </c>
      <c r="I90" t="s">
        <v>235</v>
      </c>
      <c r="J90" t="s">
        <v>234</v>
      </c>
      <c r="K90" t="s">
        <v>234</v>
      </c>
      <c r="L90" t="s">
        <v>235</v>
      </c>
      <c r="M90" t="s">
        <v>235</v>
      </c>
      <c r="N90" t="s">
        <v>235</v>
      </c>
      <c r="O90" t="s">
        <v>235</v>
      </c>
      <c r="P90" t="s">
        <v>235</v>
      </c>
      <c r="Q90" t="s">
        <v>235</v>
      </c>
      <c r="R90" t="s">
        <v>235</v>
      </c>
      <c r="S90" t="s">
        <v>235</v>
      </c>
      <c r="T90" t="s">
        <v>235</v>
      </c>
      <c r="U90" t="s">
        <v>234</v>
      </c>
      <c r="V90" t="s">
        <v>234</v>
      </c>
      <c r="W90" t="s">
        <v>235</v>
      </c>
      <c r="X90" t="s">
        <v>235</v>
      </c>
      <c r="Y90" t="s">
        <v>235</v>
      </c>
      <c r="Z90" t="s">
        <v>235</v>
      </c>
      <c r="AA90" t="s">
        <v>235</v>
      </c>
      <c r="AB90" t="s">
        <v>235</v>
      </c>
      <c r="AC90" s="28">
        <f t="shared" si="6"/>
        <v>0.66666666666666663</v>
      </c>
      <c r="AD90" s="28">
        <f t="shared" si="7"/>
        <v>0.69230769230769229</v>
      </c>
      <c r="AE90" s="28">
        <f t="shared" si="8"/>
        <v>1</v>
      </c>
    </row>
    <row r="91" spans="1:31" x14ac:dyDescent="0.45">
      <c r="A91" t="s">
        <v>164</v>
      </c>
      <c r="B91" t="s">
        <v>90</v>
      </c>
      <c r="D91" t="s">
        <v>234</v>
      </c>
      <c r="E91" t="s">
        <v>235</v>
      </c>
      <c r="F91" t="s">
        <v>235</v>
      </c>
      <c r="G91" t="s">
        <v>235</v>
      </c>
      <c r="H91" t="s">
        <v>235</v>
      </c>
      <c r="I91" t="s">
        <v>235</v>
      </c>
      <c r="J91" t="s">
        <v>235</v>
      </c>
      <c r="K91" t="s">
        <v>234</v>
      </c>
      <c r="L91" t="s">
        <v>234</v>
      </c>
      <c r="M91" t="s">
        <v>235</v>
      </c>
      <c r="N91" t="s">
        <v>235</v>
      </c>
      <c r="O91" t="s">
        <v>235</v>
      </c>
      <c r="P91" t="s">
        <v>235</v>
      </c>
      <c r="Q91" t="s">
        <v>234</v>
      </c>
      <c r="R91" t="s">
        <v>235</v>
      </c>
      <c r="S91" t="s">
        <v>235</v>
      </c>
      <c r="T91" t="s">
        <v>235</v>
      </c>
      <c r="U91" t="s">
        <v>234</v>
      </c>
      <c r="V91" t="s">
        <v>234</v>
      </c>
      <c r="W91" t="s">
        <v>235</v>
      </c>
      <c r="X91" t="s">
        <v>235</v>
      </c>
      <c r="Y91" t="s">
        <v>234</v>
      </c>
      <c r="Z91" t="s">
        <v>235</v>
      </c>
      <c r="AA91" t="s">
        <v>234</v>
      </c>
      <c r="AB91" t="s">
        <v>234</v>
      </c>
      <c r="AC91" s="28">
        <f t="shared" si="6"/>
        <v>0.83333333333333337</v>
      </c>
      <c r="AD91" s="28">
        <f t="shared" si="7"/>
        <v>0.61538461538461542</v>
      </c>
      <c r="AE91" s="28">
        <f t="shared" si="8"/>
        <v>0.5</v>
      </c>
    </row>
    <row r="92" spans="1:31" x14ac:dyDescent="0.45">
      <c r="A92" t="s">
        <v>164</v>
      </c>
      <c r="B92" t="s">
        <v>91</v>
      </c>
      <c r="D92" t="s">
        <v>235</v>
      </c>
      <c r="E92" t="s">
        <v>235</v>
      </c>
      <c r="F92" t="s">
        <v>235</v>
      </c>
      <c r="G92" t="s">
        <v>235</v>
      </c>
      <c r="H92" t="s">
        <v>235</v>
      </c>
      <c r="I92" t="s">
        <v>235</v>
      </c>
      <c r="J92" t="s">
        <v>235</v>
      </c>
      <c r="K92" t="s">
        <v>234</v>
      </c>
      <c r="L92" t="s">
        <v>234</v>
      </c>
      <c r="M92" t="s">
        <v>235</v>
      </c>
      <c r="N92" t="s">
        <v>235</v>
      </c>
      <c r="O92" t="s">
        <v>235</v>
      </c>
      <c r="P92" t="s">
        <v>235</v>
      </c>
      <c r="Q92" t="s">
        <v>235</v>
      </c>
      <c r="R92" t="s">
        <v>235</v>
      </c>
      <c r="S92" t="s">
        <v>235</v>
      </c>
      <c r="T92" t="s">
        <v>235</v>
      </c>
      <c r="U92" t="s">
        <v>234</v>
      </c>
      <c r="V92" t="s">
        <v>234</v>
      </c>
      <c r="W92" t="s">
        <v>235</v>
      </c>
      <c r="X92" t="s">
        <v>235</v>
      </c>
      <c r="Y92" t="s">
        <v>235</v>
      </c>
      <c r="Z92" t="s">
        <v>235</v>
      </c>
      <c r="AA92" t="s">
        <v>235</v>
      </c>
      <c r="AB92" t="s">
        <v>235</v>
      </c>
      <c r="AC92" s="28">
        <f t="shared" si="6"/>
        <v>1</v>
      </c>
      <c r="AD92" s="28">
        <f t="shared" si="7"/>
        <v>0.69230769230769229</v>
      </c>
      <c r="AE92" s="28">
        <f t="shared" si="8"/>
        <v>1</v>
      </c>
    </row>
    <row r="93" spans="1:31" x14ac:dyDescent="0.45">
      <c r="A93" t="s">
        <v>164</v>
      </c>
      <c r="B93" t="s">
        <v>92</v>
      </c>
      <c r="D93" t="s">
        <v>235</v>
      </c>
      <c r="E93" t="s">
        <v>235</v>
      </c>
      <c r="F93" t="s">
        <v>235</v>
      </c>
      <c r="G93" t="s">
        <v>234</v>
      </c>
      <c r="H93" t="s">
        <v>235</v>
      </c>
      <c r="I93" t="s">
        <v>235</v>
      </c>
      <c r="J93" t="s">
        <v>234</v>
      </c>
      <c r="K93" t="s">
        <v>235</v>
      </c>
      <c r="L93" t="s">
        <v>235</v>
      </c>
      <c r="M93" t="s">
        <v>235</v>
      </c>
      <c r="N93" t="s">
        <v>235</v>
      </c>
      <c r="O93" t="s">
        <v>235</v>
      </c>
      <c r="P93" t="s">
        <v>235</v>
      </c>
      <c r="Q93" t="s">
        <v>234</v>
      </c>
      <c r="R93" t="s">
        <v>235</v>
      </c>
      <c r="S93" t="s">
        <v>235</v>
      </c>
      <c r="T93" t="s">
        <v>235</v>
      </c>
      <c r="U93" t="s">
        <v>234</v>
      </c>
      <c r="V93" t="s">
        <v>235</v>
      </c>
      <c r="W93" t="s">
        <v>235</v>
      </c>
      <c r="X93" t="s">
        <v>235</v>
      </c>
      <c r="Y93" t="s">
        <v>235</v>
      </c>
      <c r="Z93" t="s">
        <v>235</v>
      </c>
      <c r="AA93" t="s">
        <v>234</v>
      </c>
      <c r="AB93" t="s">
        <v>235</v>
      </c>
      <c r="AC93" s="28">
        <f t="shared" si="6"/>
        <v>0.83333333333333337</v>
      </c>
      <c r="AD93" s="28">
        <f t="shared" si="7"/>
        <v>0.76923076923076927</v>
      </c>
      <c r="AE93" s="28">
        <f t="shared" si="8"/>
        <v>0.83333333333333337</v>
      </c>
    </row>
    <row r="94" spans="1:31" x14ac:dyDescent="0.45">
      <c r="A94" t="s">
        <v>164</v>
      </c>
      <c r="B94" t="s">
        <v>93</v>
      </c>
      <c r="D94" t="s">
        <v>235</v>
      </c>
      <c r="E94" t="s">
        <v>235</v>
      </c>
      <c r="F94" t="s">
        <v>234</v>
      </c>
      <c r="G94" t="s">
        <v>234</v>
      </c>
      <c r="H94" t="s">
        <v>235</v>
      </c>
      <c r="I94" t="s">
        <v>235</v>
      </c>
      <c r="J94" t="s">
        <v>235</v>
      </c>
      <c r="K94" t="s">
        <v>234</v>
      </c>
      <c r="L94" t="s">
        <v>234</v>
      </c>
      <c r="M94" t="s">
        <v>234</v>
      </c>
      <c r="N94" t="s">
        <v>235</v>
      </c>
      <c r="O94" t="s">
        <v>235</v>
      </c>
      <c r="P94" t="s">
        <v>235</v>
      </c>
      <c r="Q94" t="s">
        <v>235</v>
      </c>
      <c r="R94" t="s">
        <v>235</v>
      </c>
      <c r="S94" t="s">
        <v>235</v>
      </c>
      <c r="T94" t="s">
        <v>235</v>
      </c>
      <c r="U94" t="s">
        <v>234</v>
      </c>
      <c r="V94" t="s">
        <v>234</v>
      </c>
      <c r="W94" t="s">
        <v>235</v>
      </c>
      <c r="X94" t="s">
        <v>235</v>
      </c>
      <c r="Y94" t="s">
        <v>235</v>
      </c>
      <c r="Z94" t="s">
        <v>235</v>
      </c>
      <c r="AA94" t="s">
        <v>235</v>
      </c>
      <c r="AB94" t="s">
        <v>235</v>
      </c>
      <c r="AC94" s="28">
        <f t="shared" si="6"/>
        <v>0.66666666666666663</v>
      </c>
      <c r="AD94" s="28">
        <f t="shared" si="7"/>
        <v>0.61538461538461542</v>
      </c>
      <c r="AE94" s="28">
        <f t="shared" si="8"/>
        <v>1</v>
      </c>
    </row>
    <row r="95" spans="1:31" x14ac:dyDescent="0.45">
      <c r="A95" t="s">
        <v>164</v>
      </c>
      <c r="B95" t="s">
        <v>94</v>
      </c>
      <c r="D95" t="s">
        <v>234</v>
      </c>
      <c r="E95" t="s">
        <v>235</v>
      </c>
      <c r="F95" t="s">
        <v>235</v>
      </c>
      <c r="G95" t="s">
        <v>234</v>
      </c>
      <c r="H95" t="s">
        <v>235</v>
      </c>
      <c r="I95" t="s">
        <v>235</v>
      </c>
      <c r="J95" t="s">
        <v>234</v>
      </c>
      <c r="K95" t="s">
        <v>234</v>
      </c>
      <c r="L95" t="s">
        <v>234</v>
      </c>
      <c r="M95" t="s">
        <v>235</v>
      </c>
      <c r="N95" t="s">
        <v>235</v>
      </c>
      <c r="O95" t="s">
        <v>235</v>
      </c>
      <c r="P95" t="s">
        <v>235</v>
      </c>
      <c r="Q95" t="s">
        <v>235</v>
      </c>
      <c r="R95" t="s">
        <v>235</v>
      </c>
      <c r="S95" t="s">
        <v>235</v>
      </c>
      <c r="T95" t="s">
        <v>235</v>
      </c>
      <c r="U95" t="s">
        <v>234</v>
      </c>
      <c r="V95" t="s">
        <v>234</v>
      </c>
      <c r="W95" t="s">
        <v>235</v>
      </c>
      <c r="X95" t="s">
        <v>235</v>
      </c>
      <c r="Y95" t="s">
        <v>235</v>
      </c>
      <c r="Z95" t="s">
        <v>235</v>
      </c>
      <c r="AA95" t="s">
        <v>234</v>
      </c>
      <c r="AB95" t="s">
        <v>235</v>
      </c>
      <c r="AC95" s="28">
        <f t="shared" si="6"/>
        <v>0.66666666666666663</v>
      </c>
      <c r="AD95" s="28">
        <f t="shared" si="7"/>
        <v>0.61538461538461542</v>
      </c>
      <c r="AE95" s="28">
        <f t="shared" si="8"/>
        <v>0.83333333333333337</v>
      </c>
    </row>
    <row r="96" spans="1:31" x14ac:dyDescent="0.45">
      <c r="A96" t="s">
        <v>164</v>
      </c>
      <c r="B96" t="s">
        <v>95</v>
      </c>
      <c r="D96" t="s">
        <v>235</v>
      </c>
      <c r="E96" t="s">
        <v>235</v>
      </c>
      <c r="F96" t="s">
        <v>235</v>
      </c>
      <c r="G96" t="s">
        <v>234</v>
      </c>
      <c r="H96" t="s">
        <v>235</v>
      </c>
      <c r="I96" t="s">
        <v>235</v>
      </c>
      <c r="J96" t="s">
        <v>234</v>
      </c>
      <c r="K96" t="s">
        <v>234</v>
      </c>
      <c r="L96" t="s">
        <v>235</v>
      </c>
      <c r="M96" t="s">
        <v>235</v>
      </c>
      <c r="N96" t="s">
        <v>235</v>
      </c>
      <c r="O96" t="s">
        <v>235</v>
      </c>
      <c r="P96" t="s">
        <v>235</v>
      </c>
      <c r="Q96" t="s">
        <v>234</v>
      </c>
      <c r="R96" t="s">
        <v>235</v>
      </c>
      <c r="S96" t="s">
        <v>235</v>
      </c>
      <c r="T96" t="s">
        <v>235</v>
      </c>
      <c r="U96" t="s">
        <v>234</v>
      </c>
      <c r="V96" t="s">
        <v>234</v>
      </c>
      <c r="W96" t="s">
        <v>235</v>
      </c>
      <c r="X96" t="s">
        <v>235</v>
      </c>
      <c r="Y96" t="s">
        <v>235</v>
      </c>
      <c r="Z96" t="s">
        <v>234</v>
      </c>
      <c r="AA96" t="s">
        <v>235</v>
      </c>
      <c r="AB96" t="s">
        <v>235</v>
      </c>
      <c r="AC96" s="28">
        <f t="shared" si="6"/>
        <v>0.83333333333333337</v>
      </c>
      <c r="AD96" s="28">
        <f t="shared" si="7"/>
        <v>0.61538461538461542</v>
      </c>
      <c r="AE96" s="28">
        <f t="shared" si="8"/>
        <v>0.83333333333333337</v>
      </c>
    </row>
    <row r="97" spans="1:32" x14ac:dyDescent="0.45">
      <c r="A97" t="s">
        <v>164</v>
      </c>
      <c r="B97" t="s">
        <v>96</v>
      </c>
      <c r="D97" t="s">
        <v>235</v>
      </c>
      <c r="E97" t="s">
        <v>235</v>
      </c>
      <c r="F97" t="s">
        <v>235</v>
      </c>
      <c r="G97" t="s">
        <v>234</v>
      </c>
      <c r="H97" t="s">
        <v>234</v>
      </c>
      <c r="I97" t="s">
        <v>235</v>
      </c>
      <c r="J97" t="s">
        <v>234</v>
      </c>
      <c r="K97" t="s">
        <v>234</v>
      </c>
      <c r="L97" t="s">
        <v>235</v>
      </c>
      <c r="M97" t="s">
        <v>235</v>
      </c>
      <c r="N97" t="s">
        <v>235</v>
      </c>
      <c r="O97" t="s">
        <v>234</v>
      </c>
      <c r="P97" t="s">
        <v>235</v>
      </c>
      <c r="Q97" t="s">
        <v>234</v>
      </c>
      <c r="R97" t="s">
        <v>235</v>
      </c>
      <c r="S97" t="s">
        <v>235</v>
      </c>
      <c r="T97" t="s">
        <v>234</v>
      </c>
      <c r="U97" t="s">
        <v>234</v>
      </c>
      <c r="V97" t="s">
        <v>234</v>
      </c>
      <c r="W97" t="s">
        <v>235</v>
      </c>
      <c r="X97" t="s">
        <v>235</v>
      </c>
      <c r="Y97" t="s">
        <v>235</v>
      </c>
      <c r="Z97" t="s">
        <v>234</v>
      </c>
      <c r="AA97" t="s">
        <v>235</v>
      </c>
      <c r="AB97" t="s">
        <v>235</v>
      </c>
      <c r="AC97" s="28">
        <f t="shared" si="6"/>
        <v>0.66666666666666663</v>
      </c>
      <c r="AD97" s="28">
        <f t="shared" si="7"/>
        <v>0.46153846153846156</v>
      </c>
      <c r="AE97" s="28">
        <f t="shared" si="8"/>
        <v>0.83333333333333337</v>
      </c>
    </row>
    <row r="98" spans="1:32" x14ac:dyDescent="0.45">
      <c r="A98" t="s">
        <v>164</v>
      </c>
      <c r="B98" t="s">
        <v>97</v>
      </c>
      <c r="D98" t="s">
        <v>235</v>
      </c>
      <c r="E98" t="s">
        <v>235</v>
      </c>
      <c r="F98" t="s">
        <v>235</v>
      </c>
      <c r="G98" t="s">
        <v>234</v>
      </c>
      <c r="H98" t="s">
        <v>235</v>
      </c>
      <c r="I98" t="s">
        <v>235</v>
      </c>
      <c r="J98" t="s">
        <v>235</v>
      </c>
      <c r="K98" t="s">
        <v>234</v>
      </c>
      <c r="L98" t="s">
        <v>234</v>
      </c>
      <c r="M98" t="s">
        <v>235</v>
      </c>
      <c r="N98" t="s">
        <v>235</v>
      </c>
      <c r="O98" t="s">
        <v>235</v>
      </c>
      <c r="P98" t="s">
        <v>235</v>
      </c>
      <c r="Q98" t="s">
        <v>235</v>
      </c>
      <c r="R98" t="s">
        <v>235</v>
      </c>
      <c r="S98" t="s">
        <v>235</v>
      </c>
      <c r="T98" t="s">
        <v>235</v>
      </c>
      <c r="U98" t="s">
        <v>234</v>
      </c>
      <c r="V98" t="s">
        <v>234</v>
      </c>
      <c r="W98" t="s">
        <v>235</v>
      </c>
      <c r="X98" t="s">
        <v>235</v>
      </c>
      <c r="Y98" t="s">
        <v>235</v>
      </c>
      <c r="Z98" t="s">
        <v>235</v>
      </c>
      <c r="AA98" t="s">
        <v>235</v>
      </c>
      <c r="AB98" t="s">
        <v>235</v>
      </c>
      <c r="AC98" s="28">
        <f t="shared" si="6"/>
        <v>0.83333333333333337</v>
      </c>
      <c r="AD98" s="28">
        <f t="shared" si="7"/>
        <v>0.69230769230769229</v>
      </c>
      <c r="AE98" s="28">
        <f t="shared" si="8"/>
        <v>1</v>
      </c>
    </row>
    <row r="99" spans="1:32" x14ac:dyDescent="0.45">
      <c r="A99" t="s">
        <v>164</v>
      </c>
      <c r="B99" t="s">
        <v>98</v>
      </c>
      <c r="D99" t="s">
        <v>235</v>
      </c>
      <c r="E99" t="s">
        <v>235</v>
      </c>
      <c r="F99" t="s">
        <v>235</v>
      </c>
      <c r="G99" t="s">
        <v>235</v>
      </c>
      <c r="H99" t="s">
        <v>235</v>
      </c>
      <c r="I99" t="s">
        <v>235</v>
      </c>
      <c r="J99" t="s">
        <v>234</v>
      </c>
      <c r="K99" t="s">
        <v>235</v>
      </c>
      <c r="L99" t="s">
        <v>234</v>
      </c>
      <c r="M99" t="s">
        <v>235</v>
      </c>
      <c r="N99" t="s">
        <v>235</v>
      </c>
      <c r="O99" t="s">
        <v>235</v>
      </c>
      <c r="P99" t="s">
        <v>235</v>
      </c>
      <c r="Q99" t="s">
        <v>235</v>
      </c>
      <c r="R99" t="s">
        <v>234</v>
      </c>
      <c r="S99" t="s">
        <v>235</v>
      </c>
      <c r="T99" t="s">
        <v>235</v>
      </c>
      <c r="U99" t="s">
        <v>234</v>
      </c>
      <c r="V99" t="s">
        <v>235</v>
      </c>
      <c r="W99" t="s">
        <v>235</v>
      </c>
      <c r="X99" t="s">
        <v>235</v>
      </c>
      <c r="Y99" t="s">
        <v>235</v>
      </c>
      <c r="Z99" t="s">
        <v>234</v>
      </c>
      <c r="AA99" t="s">
        <v>235</v>
      </c>
      <c r="AB99" t="s">
        <v>235</v>
      </c>
      <c r="AC99" s="28">
        <f t="shared" si="6"/>
        <v>1</v>
      </c>
      <c r="AD99" s="28">
        <f t="shared" si="7"/>
        <v>0.69230769230769229</v>
      </c>
      <c r="AE99" s="28">
        <f t="shared" si="8"/>
        <v>0.83333333333333337</v>
      </c>
    </row>
    <row r="100" spans="1:32" x14ac:dyDescent="0.45">
      <c r="A100" t="s">
        <v>164</v>
      </c>
      <c r="B100" t="s">
        <v>99</v>
      </c>
      <c r="D100" t="s">
        <v>234</v>
      </c>
      <c r="E100" t="s">
        <v>235</v>
      </c>
      <c r="F100" t="s">
        <v>235</v>
      </c>
      <c r="G100" t="s">
        <v>234</v>
      </c>
      <c r="H100" t="s">
        <v>234</v>
      </c>
      <c r="I100" t="s">
        <v>235</v>
      </c>
      <c r="J100" t="s">
        <v>235</v>
      </c>
      <c r="K100" t="s">
        <v>234</v>
      </c>
      <c r="L100" t="s">
        <v>234</v>
      </c>
      <c r="M100" t="s">
        <v>235</v>
      </c>
      <c r="N100" t="s">
        <v>234</v>
      </c>
      <c r="O100" t="s">
        <v>235</v>
      </c>
      <c r="P100" t="s">
        <v>235</v>
      </c>
      <c r="Q100" t="s">
        <v>235</v>
      </c>
      <c r="R100" t="s">
        <v>235</v>
      </c>
      <c r="S100" t="s">
        <v>235</v>
      </c>
      <c r="T100" t="s">
        <v>235</v>
      </c>
      <c r="U100" t="s">
        <v>234</v>
      </c>
      <c r="V100" t="s">
        <v>235</v>
      </c>
      <c r="W100" t="s">
        <v>235</v>
      </c>
      <c r="X100" t="s">
        <v>234</v>
      </c>
      <c r="Y100" t="s">
        <v>235</v>
      </c>
      <c r="Z100" t="s">
        <v>234</v>
      </c>
      <c r="AA100" t="s">
        <v>235</v>
      </c>
      <c r="AB100" t="s">
        <v>235</v>
      </c>
      <c r="AC100" s="28">
        <f t="shared" si="6"/>
        <v>0.5</v>
      </c>
      <c r="AD100" s="28">
        <f t="shared" si="7"/>
        <v>0.69230769230769229</v>
      </c>
      <c r="AE100" s="28">
        <f t="shared" si="8"/>
        <v>0.66666666666666663</v>
      </c>
    </row>
    <row r="101" spans="1:32" x14ac:dyDescent="0.45">
      <c r="AC101">
        <v>6</v>
      </c>
      <c r="AD101">
        <v>7</v>
      </c>
      <c r="AE101">
        <v>7</v>
      </c>
      <c r="AF101">
        <v>5</v>
      </c>
    </row>
    <row r="102" spans="1:32" x14ac:dyDescent="0.45">
      <c r="D102" t="s">
        <v>117</v>
      </c>
      <c r="E102" t="s">
        <v>117</v>
      </c>
      <c r="F102" t="s">
        <v>117</v>
      </c>
      <c r="G102" t="s">
        <v>117</v>
      </c>
      <c r="H102" t="s">
        <v>117</v>
      </c>
      <c r="I102" t="s">
        <v>117</v>
      </c>
      <c r="J102" t="s">
        <v>115</v>
      </c>
      <c r="K102" t="s">
        <v>115</v>
      </c>
      <c r="L102" t="s">
        <v>115</v>
      </c>
      <c r="M102" t="s">
        <v>115</v>
      </c>
      <c r="N102" t="s">
        <v>115</v>
      </c>
      <c r="O102" t="s">
        <v>115</v>
      </c>
      <c r="P102" t="s">
        <v>115</v>
      </c>
      <c r="Q102" t="s">
        <v>114</v>
      </c>
      <c r="R102" t="s">
        <v>114</v>
      </c>
      <c r="S102" t="s">
        <v>114</v>
      </c>
      <c r="T102" t="s">
        <v>114</v>
      </c>
      <c r="U102" t="s">
        <v>114</v>
      </c>
      <c r="V102" t="s">
        <v>114</v>
      </c>
      <c r="W102" t="s">
        <v>114</v>
      </c>
      <c r="X102" t="s">
        <v>116</v>
      </c>
      <c r="Y102" t="s">
        <v>116</v>
      </c>
      <c r="Z102" t="s">
        <v>116</v>
      </c>
      <c r="AA102" t="s">
        <v>116</v>
      </c>
      <c r="AB102" t="s">
        <v>116</v>
      </c>
      <c r="AC102" t="s">
        <v>117</v>
      </c>
      <c r="AD102" t="s">
        <v>115</v>
      </c>
      <c r="AE102" t="s">
        <v>114</v>
      </c>
      <c r="AF102" t="s">
        <v>116</v>
      </c>
    </row>
    <row r="103" spans="1:32" x14ac:dyDescent="0.45">
      <c r="A103" t="s">
        <v>64</v>
      </c>
      <c r="B103" t="s">
        <v>181</v>
      </c>
      <c r="D103" t="s">
        <v>234</v>
      </c>
      <c r="E103" t="s">
        <v>234</v>
      </c>
      <c r="F103" t="s">
        <v>234</v>
      </c>
      <c r="G103" t="s">
        <v>234</v>
      </c>
      <c r="H103" t="s">
        <v>235</v>
      </c>
      <c r="I103" t="s">
        <v>235</v>
      </c>
      <c r="J103" t="s">
        <v>234</v>
      </c>
      <c r="K103" t="s">
        <v>234</v>
      </c>
      <c r="L103" t="s">
        <v>235</v>
      </c>
      <c r="M103" t="s">
        <v>235</v>
      </c>
      <c r="N103" t="s">
        <v>235</v>
      </c>
      <c r="O103" t="s">
        <v>235</v>
      </c>
      <c r="P103" t="s">
        <v>234</v>
      </c>
      <c r="Q103" t="s">
        <v>235</v>
      </c>
      <c r="R103" t="s">
        <v>234</v>
      </c>
      <c r="S103" t="s">
        <v>235</v>
      </c>
      <c r="T103" t="s">
        <v>235</v>
      </c>
      <c r="U103" t="s">
        <v>235</v>
      </c>
      <c r="V103" t="s">
        <v>235</v>
      </c>
      <c r="W103" t="s">
        <v>235</v>
      </c>
      <c r="X103" t="s">
        <v>235</v>
      </c>
      <c r="Y103" t="s">
        <v>235</v>
      </c>
      <c r="Z103" t="s">
        <v>235</v>
      </c>
      <c r="AA103" t="s">
        <v>234</v>
      </c>
      <c r="AB103" t="s">
        <v>235</v>
      </c>
      <c r="AC103" s="28">
        <f>(COUNTIF(D103:I103,"O")/6)</f>
        <v>0.33333333333333331</v>
      </c>
      <c r="AD103" s="28">
        <f>(COUNTIF(J103:P103,"O")/7)</f>
        <v>0.5714285714285714</v>
      </c>
      <c r="AE103" s="28">
        <f>(COUNTIF(Q103:W103,"O")/7)</f>
        <v>0.8571428571428571</v>
      </c>
      <c r="AF103" s="28">
        <f>COUNTIF(X103:AB103,"O")/5</f>
        <v>0.8</v>
      </c>
    </row>
    <row r="104" spans="1:32" x14ac:dyDescent="0.45">
      <c r="A104" t="s">
        <v>64</v>
      </c>
      <c r="B104" t="s">
        <v>65</v>
      </c>
      <c r="D104" t="s">
        <v>234</v>
      </c>
      <c r="E104" t="s">
        <v>235</v>
      </c>
      <c r="F104" t="s">
        <v>235</v>
      </c>
      <c r="G104" t="s">
        <v>235</v>
      </c>
      <c r="H104" t="s">
        <v>235</v>
      </c>
      <c r="I104" t="s">
        <v>234</v>
      </c>
      <c r="J104" t="s">
        <v>235</v>
      </c>
      <c r="K104" t="s">
        <v>235</v>
      </c>
      <c r="L104" t="s">
        <v>235</v>
      </c>
      <c r="M104" t="s">
        <v>235</v>
      </c>
      <c r="N104" t="s">
        <v>235</v>
      </c>
      <c r="O104" t="s">
        <v>235</v>
      </c>
      <c r="P104" t="s">
        <v>235</v>
      </c>
      <c r="Q104" t="s">
        <v>235</v>
      </c>
      <c r="R104" t="s">
        <v>235</v>
      </c>
      <c r="S104" t="s">
        <v>235</v>
      </c>
      <c r="T104" t="s">
        <v>235</v>
      </c>
      <c r="U104" t="s">
        <v>235</v>
      </c>
      <c r="V104" t="s">
        <v>235</v>
      </c>
      <c r="W104" t="s">
        <v>235</v>
      </c>
      <c r="X104" t="s">
        <v>235</v>
      </c>
      <c r="Y104" t="s">
        <v>235</v>
      </c>
      <c r="Z104" t="s">
        <v>235</v>
      </c>
      <c r="AA104" t="s">
        <v>235</v>
      </c>
      <c r="AB104" t="s">
        <v>235</v>
      </c>
      <c r="AC104" s="28">
        <f t="shared" ref="AC104:AC111" si="9">(COUNTIF(D104:I104,"O")/6)</f>
        <v>0.66666666666666663</v>
      </c>
      <c r="AD104" s="28">
        <f t="shared" ref="AD104:AD111" si="10">(COUNTIF(J104:P104,"O")/7)</f>
        <v>1</v>
      </c>
      <c r="AE104" s="28">
        <f t="shared" ref="AE104:AE111" si="11">(COUNTIF(Q104:W104,"O")/7)</f>
        <v>1</v>
      </c>
      <c r="AF104" s="28">
        <f t="shared" ref="AF104:AF111" si="12">COUNTIF(X104:AB104,"O")/5</f>
        <v>1</v>
      </c>
    </row>
    <row r="105" spans="1:32" x14ac:dyDescent="0.45">
      <c r="A105" t="s">
        <v>64</v>
      </c>
      <c r="B105" t="s">
        <v>66</v>
      </c>
      <c r="D105" t="s">
        <v>235</v>
      </c>
      <c r="E105" t="s">
        <v>235</v>
      </c>
      <c r="F105" t="s">
        <v>235</v>
      </c>
      <c r="G105" t="s">
        <v>235</v>
      </c>
      <c r="H105" t="s">
        <v>235</v>
      </c>
      <c r="I105" t="s">
        <v>235</v>
      </c>
      <c r="J105" t="s">
        <v>234</v>
      </c>
      <c r="K105" t="s">
        <v>235</v>
      </c>
      <c r="L105" t="s">
        <v>235</v>
      </c>
      <c r="M105" t="s">
        <v>235</v>
      </c>
      <c r="N105" t="s">
        <v>235</v>
      </c>
      <c r="O105" t="s">
        <v>234</v>
      </c>
      <c r="P105" t="s">
        <v>235</v>
      </c>
      <c r="Q105" t="s">
        <v>235</v>
      </c>
      <c r="R105" t="s">
        <v>234</v>
      </c>
      <c r="S105" t="s">
        <v>235</v>
      </c>
      <c r="T105" t="s">
        <v>234</v>
      </c>
      <c r="U105" t="s">
        <v>235</v>
      </c>
      <c r="V105" t="s">
        <v>235</v>
      </c>
      <c r="W105" t="s">
        <v>235</v>
      </c>
      <c r="X105" t="s">
        <v>235</v>
      </c>
      <c r="Y105" t="s">
        <v>235</v>
      </c>
      <c r="Z105" t="s">
        <v>235</v>
      </c>
      <c r="AA105" t="s">
        <v>235</v>
      </c>
      <c r="AB105" t="s">
        <v>235</v>
      </c>
      <c r="AC105" s="28">
        <f t="shared" si="9"/>
        <v>1</v>
      </c>
      <c r="AD105" s="28">
        <f t="shared" si="10"/>
        <v>0.7142857142857143</v>
      </c>
      <c r="AE105" s="28">
        <f t="shared" si="11"/>
        <v>0.7142857142857143</v>
      </c>
      <c r="AF105" s="28">
        <f t="shared" si="12"/>
        <v>1</v>
      </c>
    </row>
    <row r="106" spans="1:32" x14ac:dyDescent="0.45">
      <c r="A106" t="s">
        <v>64</v>
      </c>
      <c r="B106" t="s">
        <v>67</v>
      </c>
      <c r="D106" t="s">
        <v>234</v>
      </c>
      <c r="E106" t="s">
        <v>235</v>
      </c>
      <c r="F106" t="s">
        <v>234</v>
      </c>
      <c r="G106" t="s">
        <v>235</v>
      </c>
      <c r="H106" t="s">
        <v>235</v>
      </c>
      <c r="I106" t="s">
        <v>235</v>
      </c>
      <c r="J106" t="s">
        <v>235</v>
      </c>
      <c r="K106" t="s">
        <v>235</v>
      </c>
      <c r="L106" t="s">
        <v>235</v>
      </c>
      <c r="M106" t="s">
        <v>235</v>
      </c>
      <c r="N106" t="s">
        <v>235</v>
      </c>
      <c r="O106" t="s">
        <v>235</v>
      </c>
      <c r="P106" t="s">
        <v>235</v>
      </c>
      <c r="Q106" t="s">
        <v>235</v>
      </c>
      <c r="R106" t="s">
        <v>234</v>
      </c>
      <c r="S106" t="s">
        <v>235</v>
      </c>
      <c r="T106" t="s">
        <v>235</v>
      </c>
      <c r="U106" t="s">
        <v>235</v>
      </c>
      <c r="V106" t="s">
        <v>235</v>
      </c>
      <c r="W106" t="s">
        <v>235</v>
      </c>
      <c r="X106" t="s">
        <v>235</v>
      </c>
      <c r="Y106" t="s">
        <v>235</v>
      </c>
      <c r="Z106" t="s">
        <v>235</v>
      </c>
      <c r="AA106" t="s">
        <v>234</v>
      </c>
      <c r="AB106" t="s">
        <v>235</v>
      </c>
      <c r="AC106" s="28">
        <f t="shared" si="9"/>
        <v>0.66666666666666663</v>
      </c>
      <c r="AD106" s="28">
        <f t="shared" si="10"/>
        <v>1</v>
      </c>
      <c r="AE106" s="28">
        <f t="shared" si="11"/>
        <v>0.8571428571428571</v>
      </c>
      <c r="AF106" s="28">
        <f t="shared" si="12"/>
        <v>0.8</v>
      </c>
    </row>
    <row r="107" spans="1:32" x14ac:dyDescent="0.45">
      <c r="A107" t="s">
        <v>64</v>
      </c>
      <c r="B107" t="s">
        <v>68</v>
      </c>
      <c r="D107" t="s">
        <v>234</v>
      </c>
      <c r="E107" t="s">
        <v>235</v>
      </c>
      <c r="F107" t="s">
        <v>235</v>
      </c>
      <c r="G107" t="s">
        <v>235</v>
      </c>
      <c r="H107" t="s">
        <v>235</v>
      </c>
      <c r="I107" t="s">
        <v>235</v>
      </c>
      <c r="J107" t="s">
        <v>235</v>
      </c>
      <c r="K107" t="s">
        <v>235</v>
      </c>
      <c r="L107" t="s">
        <v>235</v>
      </c>
      <c r="M107" t="s">
        <v>235</v>
      </c>
      <c r="N107" t="s">
        <v>235</v>
      </c>
      <c r="O107" t="s">
        <v>235</v>
      </c>
      <c r="P107" t="s">
        <v>235</v>
      </c>
      <c r="Q107" t="s">
        <v>235</v>
      </c>
      <c r="R107" t="s">
        <v>234</v>
      </c>
      <c r="S107" t="s">
        <v>235</v>
      </c>
      <c r="T107" t="s">
        <v>235</v>
      </c>
      <c r="U107" t="s">
        <v>235</v>
      </c>
      <c r="V107" t="s">
        <v>235</v>
      </c>
      <c r="W107" t="s">
        <v>235</v>
      </c>
      <c r="X107" t="s">
        <v>235</v>
      </c>
      <c r="Y107" t="s">
        <v>235</v>
      </c>
      <c r="Z107" t="s">
        <v>235</v>
      </c>
      <c r="AA107" t="s">
        <v>234</v>
      </c>
      <c r="AB107" t="s">
        <v>235</v>
      </c>
      <c r="AC107" s="28">
        <f t="shared" si="9"/>
        <v>0.83333333333333337</v>
      </c>
      <c r="AD107" s="28">
        <f t="shared" si="10"/>
        <v>1</v>
      </c>
      <c r="AE107" s="28">
        <f t="shared" si="11"/>
        <v>0.8571428571428571</v>
      </c>
      <c r="AF107" s="28">
        <f t="shared" si="12"/>
        <v>0.8</v>
      </c>
    </row>
    <row r="108" spans="1:32" x14ac:dyDescent="0.45">
      <c r="A108" t="s">
        <v>64</v>
      </c>
      <c r="B108" t="s">
        <v>69</v>
      </c>
      <c r="D108" t="s">
        <v>235</v>
      </c>
      <c r="E108" t="s">
        <v>235</v>
      </c>
      <c r="F108" t="s">
        <v>235</v>
      </c>
      <c r="G108" t="s">
        <v>235</v>
      </c>
      <c r="H108" t="s">
        <v>235</v>
      </c>
      <c r="I108" t="s">
        <v>235</v>
      </c>
      <c r="J108" t="s">
        <v>234</v>
      </c>
      <c r="K108" t="s">
        <v>235</v>
      </c>
      <c r="L108" t="s">
        <v>235</v>
      </c>
      <c r="M108" t="s">
        <v>235</v>
      </c>
      <c r="N108" t="s">
        <v>235</v>
      </c>
      <c r="O108" t="s">
        <v>234</v>
      </c>
      <c r="P108" t="s">
        <v>235</v>
      </c>
      <c r="Q108" t="s">
        <v>235</v>
      </c>
      <c r="R108" t="s">
        <v>234</v>
      </c>
      <c r="S108" t="s">
        <v>235</v>
      </c>
      <c r="T108" t="s">
        <v>235</v>
      </c>
      <c r="U108" t="s">
        <v>235</v>
      </c>
      <c r="V108" t="s">
        <v>235</v>
      </c>
      <c r="W108" t="s">
        <v>235</v>
      </c>
      <c r="X108" t="s">
        <v>235</v>
      </c>
      <c r="Y108" t="s">
        <v>235</v>
      </c>
      <c r="Z108" t="s">
        <v>235</v>
      </c>
      <c r="AA108" t="s">
        <v>234</v>
      </c>
      <c r="AB108" t="s">
        <v>235</v>
      </c>
      <c r="AC108" s="28">
        <f t="shared" si="9"/>
        <v>1</v>
      </c>
      <c r="AD108" s="28">
        <f t="shared" si="10"/>
        <v>0.7142857142857143</v>
      </c>
      <c r="AE108" s="28">
        <f t="shared" si="11"/>
        <v>0.8571428571428571</v>
      </c>
      <c r="AF108" s="28">
        <f t="shared" si="12"/>
        <v>0.8</v>
      </c>
    </row>
    <row r="109" spans="1:32" x14ac:dyDescent="0.45">
      <c r="A109" t="s">
        <v>64</v>
      </c>
      <c r="B109" t="s">
        <v>70</v>
      </c>
      <c r="D109" t="s">
        <v>234</v>
      </c>
      <c r="E109" t="s">
        <v>235</v>
      </c>
      <c r="F109" t="s">
        <v>235</v>
      </c>
      <c r="G109" t="s">
        <v>235</v>
      </c>
      <c r="H109" t="s">
        <v>235</v>
      </c>
      <c r="I109" t="s">
        <v>235</v>
      </c>
      <c r="J109" t="s">
        <v>234</v>
      </c>
      <c r="K109" t="s">
        <v>235</v>
      </c>
      <c r="L109" t="s">
        <v>235</v>
      </c>
      <c r="M109" t="s">
        <v>235</v>
      </c>
      <c r="N109" t="s">
        <v>235</v>
      </c>
      <c r="O109" t="s">
        <v>234</v>
      </c>
      <c r="P109" t="s">
        <v>235</v>
      </c>
      <c r="Q109" t="s">
        <v>235</v>
      </c>
      <c r="R109" t="s">
        <v>234</v>
      </c>
      <c r="S109" t="s">
        <v>235</v>
      </c>
      <c r="T109" t="s">
        <v>234</v>
      </c>
      <c r="U109" t="s">
        <v>235</v>
      </c>
      <c r="V109" t="s">
        <v>235</v>
      </c>
      <c r="W109" t="s">
        <v>235</v>
      </c>
      <c r="X109" t="s">
        <v>234</v>
      </c>
      <c r="Y109" t="s">
        <v>235</v>
      </c>
      <c r="Z109" t="s">
        <v>235</v>
      </c>
      <c r="AA109" t="s">
        <v>234</v>
      </c>
      <c r="AB109" t="s">
        <v>235</v>
      </c>
      <c r="AC109" s="28">
        <f t="shared" si="9"/>
        <v>0.83333333333333337</v>
      </c>
      <c r="AD109" s="28">
        <f t="shared" si="10"/>
        <v>0.7142857142857143</v>
      </c>
      <c r="AE109" s="28">
        <f t="shared" si="11"/>
        <v>0.7142857142857143</v>
      </c>
      <c r="AF109" s="28">
        <f t="shared" si="12"/>
        <v>0.6</v>
      </c>
    </row>
    <row r="110" spans="1:32" x14ac:dyDescent="0.45">
      <c r="A110" t="s">
        <v>64</v>
      </c>
      <c r="B110" t="s">
        <v>71</v>
      </c>
      <c r="D110" t="s">
        <v>235</v>
      </c>
      <c r="E110" t="s">
        <v>235</v>
      </c>
      <c r="F110" t="s">
        <v>235</v>
      </c>
      <c r="G110" t="s">
        <v>235</v>
      </c>
      <c r="H110" t="s">
        <v>235</v>
      </c>
      <c r="I110" t="s">
        <v>235</v>
      </c>
      <c r="J110" t="s">
        <v>234</v>
      </c>
      <c r="K110" t="s">
        <v>235</v>
      </c>
      <c r="L110" t="s">
        <v>235</v>
      </c>
      <c r="M110" t="s">
        <v>235</v>
      </c>
      <c r="N110" t="s">
        <v>235</v>
      </c>
      <c r="O110" t="s">
        <v>235</v>
      </c>
      <c r="P110" t="s">
        <v>235</v>
      </c>
      <c r="Q110" t="s">
        <v>235</v>
      </c>
      <c r="R110" t="s">
        <v>234</v>
      </c>
      <c r="S110" t="s">
        <v>235</v>
      </c>
      <c r="T110" t="s">
        <v>235</v>
      </c>
      <c r="U110" t="s">
        <v>235</v>
      </c>
      <c r="V110" t="s">
        <v>235</v>
      </c>
      <c r="W110" t="s">
        <v>235</v>
      </c>
      <c r="X110" t="s">
        <v>235</v>
      </c>
      <c r="Y110" t="s">
        <v>235</v>
      </c>
      <c r="Z110" t="s">
        <v>235</v>
      </c>
      <c r="AA110" t="s">
        <v>235</v>
      </c>
      <c r="AB110" t="s">
        <v>235</v>
      </c>
      <c r="AC110" s="28">
        <f t="shared" si="9"/>
        <v>1</v>
      </c>
      <c r="AD110" s="28">
        <f t="shared" si="10"/>
        <v>0.8571428571428571</v>
      </c>
      <c r="AE110" s="28">
        <f t="shared" si="11"/>
        <v>0.8571428571428571</v>
      </c>
      <c r="AF110" s="28">
        <f t="shared" si="12"/>
        <v>1</v>
      </c>
    </row>
    <row r="111" spans="1:32" x14ac:dyDescent="0.45">
      <c r="A111" t="s">
        <v>64</v>
      </c>
      <c r="B111" t="s">
        <v>72</v>
      </c>
      <c r="D111" t="s">
        <v>235</v>
      </c>
      <c r="E111" t="s">
        <v>235</v>
      </c>
      <c r="F111" t="s">
        <v>235</v>
      </c>
      <c r="G111" t="s">
        <v>235</v>
      </c>
      <c r="H111" t="s">
        <v>235</v>
      </c>
      <c r="I111" t="s">
        <v>235</v>
      </c>
      <c r="J111" t="s">
        <v>235</v>
      </c>
      <c r="K111" t="s">
        <v>235</v>
      </c>
      <c r="L111" t="s">
        <v>235</v>
      </c>
      <c r="M111" t="s">
        <v>235</v>
      </c>
      <c r="N111" t="s">
        <v>235</v>
      </c>
      <c r="O111" t="s">
        <v>235</v>
      </c>
      <c r="P111" t="s">
        <v>235</v>
      </c>
      <c r="Q111" t="s">
        <v>235</v>
      </c>
      <c r="R111" t="s">
        <v>234</v>
      </c>
      <c r="S111" t="s">
        <v>235</v>
      </c>
      <c r="T111" t="s">
        <v>235</v>
      </c>
      <c r="U111" t="s">
        <v>235</v>
      </c>
      <c r="V111" t="s">
        <v>235</v>
      </c>
      <c r="W111" t="s">
        <v>235</v>
      </c>
      <c r="X111" t="s">
        <v>235</v>
      </c>
      <c r="Y111" t="s">
        <v>235</v>
      </c>
      <c r="Z111" t="s">
        <v>235</v>
      </c>
      <c r="AA111" t="s">
        <v>235</v>
      </c>
      <c r="AB111" t="s">
        <v>235</v>
      </c>
      <c r="AC111" s="28">
        <f t="shared" si="9"/>
        <v>1</v>
      </c>
      <c r="AD111" s="28">
        <f t="shared" si="10"/>
        <v>1</v>
      </c>
      <c r="AE111" s="28">
        <f t="shared" si="11"/>
        <v>0.8571428571428571</v>
      </c>
      <c r="AF111" s="28">
        <f t="shared" si="12"/>
        <v>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EBD6-0875-493E-AFF4-82F99C730532}">
  <dimension ref="A1:J107"/>
  <sheetViews>
    <sheetView workbookViewId="0">
      <selection activeCell="H25" sqref="H25"/>
    </sheetView>
  </sheetViews>
  <sheetFormatPr defaultRowHeight="17.5" x14ac:dyDescent="0.45"/>
  <cols>
    <col min="1" max="1" width="10.84375" style="20" bestFit="1" customWidth="1"/>
    <col min="2" max="6" width="9.23046875" style="20"/>
    <col min="7" max="7" width="9.61328125" style="20" bestFit="1" customWidth="1"/>
    <col min="8" max="16384" width="9.23046875" style="20"/>
  </cols>
  <sheetData>
    <row r="1" spans="1:10" x14ac:dyDescent="0.45">
      <c r="A1" s="20" t="s">
        <v>166</v>
      </c>
      <c r="B1" s="20" t="s">
        <v>105</v>
      </c>
      <c r="C1" s="20" t="s">
        <v>170</v>
      </c>
      <c r="D1" s="20" t="s">
        <v>171</v>
      </c>
      <c r="E1" s="20" t="s">
        <v>244</v>
      </c>
      <c r="F1" s="20" t="s">
        <v>172</v>
      </c>
      <c r="G1" s="20" t="s">
        <v>173</v>
      </c>
      <c r="I1" s="20" t="s">
        <v>245</v>
      </c>
      <c r="J1" s="20" t="s">
        <v>246</v>
      </c>
    </row>
    <row r="2" spans="1:10" x14ac:dyDescent="0.45">
      <c r="A2" s="20" t="s">
        <v>120</v>
      </c>
      <c r="B2" s="20" t="s">
        <v>2</v>
      </c>
      <c r="C2" s="20">
        <v>65</v>
      </c>
      <c r="D2" s="20">
        <v>13</v>
      </c>
      <c r="E2" s="20">
        <f>(D2/20)*70</f>
        <v>45.5</v>
      </c>
      <c r="F2" s="20">
        <v>30</v>
      </c>
      <c r="G2" s="20">
        <f>E2+F2</f>
        <v>75.5</v>
      </c>
      <c r="I2" s="20" t="s">
        <v>2</v>
      </c>
      <c r="J2" s="21">
        <v>70.697674418604649</v>
      </c>
    </row>
    <row r="3" spans="1:10" x14ac:dyDescent="0.45">
      <c r="A3" s="20" t="s">
        <v>119</v>
      </c>
      <c r="B3" s="20" t="s">
        <v>2</v>
      </c>
      <c r="C3" s="20">
        <v>85</v>
      </c>
      <c r="D3" s="20">
        <v>17</v>
      </c>
      <c r="E3" s="20">
        <f t="shared" ref="E3:E66" si="0">(D3/20)*70</f>
        <v>59.5</v>
      </c>
      <c r="F3" s="20">
        <v>30</v>
      </c>
      <c r="G3" s="20">
        <f t="shared" ref="G3:G66" si="1">E3+F3</f>
        <v>89.5</v>
      </c>
      <c r="I3" s="20" t="s">
        <v>43</v>
      </c>
      <c r="J3" s="20">
        <v>66.900000000000006</v>
      </c>
    </row>
    <row r="4" spans="1:10" x14ac:dyDescent="0.45">
      <c r="A4" s="20" t="s">
        <v>169</v>
      </c>
      <c r="B4" s="20" t="s">
        <v>2</v>
      </c>
      <c r="C4" s="20">
        <v>60</v>
      </c>
      <c r="D4" s="20">
        <v>12</v>
      </c>
      <c r="E4" s="20">
        <f t="shared" si="0"/>
        <v>42</v>
      </c>
      <c r="F4" s="20">
        <v>30</v>
      </c>
      <c r="G4" s="20">
        <f t="shared" si="1"/>
        <v>72</v>
      </c>
      <c r="I4" s="20" t="s">
        <v>164</v>
      </c>
      <c r="J4" s="20">
        <v>83.8</v>
      </c>
    </row>
    <row r="5" spans="1:10" x14ac:dyDescent="0.45">
      <c r="A5" s="20" t="s">
        <v>4</v>
      </c>
      <c r="B5" s="20" t="s">
        <v>2</v>
      </c>
      <c r="C5" s="20">
        <v>60</v>
      </c>
      <c r="D5" s="20">
        <v>12</v>
      </c>
      <c r="E5" s="20">
        <f t="shared" si="0"/>
        <v>42</v>
      </c>
      <c r="F5" s="20">
        <v>30</v>
      </c>
      <c r="G5" s="20">
        <f t="shared" si="1"/>
        <v>72</v>
      </c>
      <c r="I5" s="20" t="s">
        <v>64</v>
      </c>
      <c r="J5" s="20">
        <v>77.400000000000006</v>
      </c>
    </row>
    <row r="6" spans="1:10" x14ac:dyDescent="0.45">
      <c r="A6" s="20" t="s">
        <v>5</v>
      </c>
      <c r="B6" s="20" t="s">
        <v>2</v>
      </c>
      <c r="C6" s="20">
        <v>45</v>
      </c>
      <c r="D6" s="20">
        <v>9</v>
      </c>
      <c r="E6" s="20">
        <f t="shared" si="0"/>
        <v>31.5</v>
      </c>
      <c r="F6" s="20">
        <v>30</v>
      </c>
      <c r="G6" s="20">
        <f t="shared" si="1"/>
        <v>61.5</v>
      </c>
    </row>
    <row r="7" spans="1:10" x14ac:dyDescent="0.45">
      <c r="A7" s="20" t="s">
        <v>6</v>
      </c>
      <c r="B7" s="20" t="s">
        <v>2</v>
      </c>
      <c r="C7" s="20">
        <v>100</v>
      </c>
      <c r="D7" s="20">
        <v>20</v>
      </c>
      <c r="E7" s="20">
        <f t="shared" si="0"/>
        <v>70</v>
      </c>
      <c r="F7" s="20">
        <v>30</v>
      </c>
      <c r="G7" s="20">
        <f t="shared" si="1"/>
        <v>100</v>
      </c>
    </row>
    <row r="8" spans="1:10" x14ac:dyDescent="0.45">
      <c r="A8" s="20" t="s">
        <v>7</v>
      </c>
      <c r="B8" s="20" t="s">
        <v>2</v>
      </c>
      <c r="C8" s="20">
        <v>80</v>
      </c>
      <c r="D8" s="20">
        <v>16</v>
      </c>
      <c r="E8" s="20">
        <f t="shared" si="0"/>
        <v>56</v>
      </c>
      <c r="F8" s="20">
        <v>30</v>
      </c>
      <c r="G8" s="20">
        <f t="shared" si="1"/>
        <v>86</v>
      </c>
    </row>
    <row r="9" spans="1:10" x14ac:dyDescent="0.45">
      <c r="A9" s="20" t="s">
        <v>15</v>
      </c>
      <c r="B9" s="20" t="s">
        <v>2</v>
      </c>
      <c r="C9" s="20">
        <v>65</v>
      </c>
      <c r="D9" s="20">
        <v>13</v>
      </c>
      <c r="E9" s="20">
        <f t="shared" si="0"/>
        <v>45.5</v>
      </c>
      <c r="F9" s="20">
        <v>30</v>
      </c>
      <c r="G9" s="20">
        <f t="shared" si="1"/>
        <v>75.5</v>
      </c>
    </row>
    <row r="10" spans="1:10" x14ac:dyDescent="0.45">
      <c r="A10" s="20" t="s">
        <v>13</v>
      </c>
      <c r="B10" s="20" t="s">
        <v>2</v>
      </c>
      <c r="C10" s="20">
        <v>85</v>
      </c>
      <c r="D10" s="20">
        <v>17</v>
      </c>
      <c r="E10" s="20">
        <f t="shared" si="0"/>
        <v>59.5</v>
      </c>
      <c r="F10" s="20">
        <v>30</v>
      </c>
      <c r="G10" s="20">
        <f t="shared" si="1"/>
        <v>89.5</v>
      </c>
    </row>
    <row r="11" spans="1:10" x14ac:dyDescent="0.45">
      <c r="A11" s="20" t="s">
        <v>9</v>
      </c>
      <c r="B11" s="20" t="s">
        <v>2</v>
      </c>
      <c r="C11" s="20">
        <v>15</v>
      </c>
      <c r="D11" s="20">
        <v>3</v>
      </c>
      <c r="E11" s="20">
        <f t="shared" si="0"/>
        <v>10.5</v>
      </c>
      <c r="F11" s="20">
        <v>30</v>
      </c>
      <c r="G11" s="20">
        <f t="shared" si="1"/>
        <v>40.5</v>
      </c>
    </row>
    <row r="12" spans="1:10" x14ac:dyDescent="0.45">
      <c r="A12" s="20" t="s">
        <v>8</v>
      </c>
      <c r="B12" s="20" t="s">
        <v>2</v>
      </c>
      <c r="C12" s="20">
        <v>40</v>
      </c>
      <c r="D12" s="20">
        <v>8</v>
      </c>
      <c r="E12" s="20">
        <f t="shared" si="0"/>
        <v>28</v>
      </c>
      <c r="F12" s="20">
        <v>30</v>
      </c>
      <c r="G12" s="20">
        <f t="shared" si="1"/>
        <v>58</v>
      </c>
    </row>
    <row r="13" spans="1:10" x14ac:dyDescent="0.45">
      <c r="A13" s="20" t="s">
        <v>11</v>
      </c>
      <c r="B13" s="20" t="s">
        <v>2</v>
      </c>
      <c r="C13" s="20">
        <v>55</v>
      </c>
      <c r="D13" s="20">
        <v>11</v>
      </c>
      <c r="E13" s="20">
        <f t="shared" si="0"/>
        <v>38.5</v>
      </c>
      <c r="F13" s="20">
        <v>30</v>
      </c>
      <c r="G13" s="20">
        <f t="shared" si="1"/>
        <v>68.5</v>
      </c>
    </row>
    <row r="14" spans="1:10" x14ac:dyDescent="0.45">
      <c r="A14" s="20" t="s">
        <v>12</v>
      </c>
      <c r="B14" s="20" t="s">
        <v>2</v>
      </c>
      <c r="C14" s="20">
        <v>35</v>
      </c>
      <c r="D14" s="20">
        <v>7</v>
      </c>
      <c r="E14" s="20">
        <f t="shared" si="0"/>
        <v>24.5</v>
      </c>
      <c r="F14" s="20">
        <v>30</v>
      </c>
      <c r="G14" s="20">
        <f t="shared" si="1"/>
        <v>54.5</v>
      </c>
    </row>
    <row r="15" spans="1:10" x14ac:dyDescent="0.45">
      <c r="A15" s="20" t="s">
        <v>10</v>
      </c>
      <c r="B15" s="20" t="s">
        <v>2</v>
      </c>
      <c r="C15" s="20">
        <v>90</v>
      </c>
      <c r="D15" s="20">
        <v>18</v>
      </c>
      <c r="E15" s="20">
        <f t="shared" si="0"/>
        <v>63</v>
      </c>
      <c r="F15" s="20">
        <v>30</v>
      </c>
      <c r="G15" s="20">
        <f t="shared" si="1"/>
        <v>93</v>
      </c>
    </row>
    <row r="16" spans="1:10" x14ac:dyDescent="0.45">
      <c r="A16" s="20" t="s">
        <v>14</v>
      </c>
      <c r="B16" s="20" t="s">
        <v>2</v>
      </c>
      <c r="C16" s="20">
        <v>15</v>
      </c>
      <c r="D16" s="20">
        <v>3</v>
      </c>
      <c r="E16" s="20">
        <f t="shared" si="0"/>
        <v>10.5</v>
      </c>
      <c r="F16" s="20">
        <v>30</v>
      </c>
      <c r="G16" s="20">
        <f t="shared" si="1"/>
        <v>40.5</v>
      </c>
    </row>
    <row r="17" spans="1:7" x14ac:dyDescent="0.45">
      <c r="A17" s="20" t="s">
        <v>16</v>
      </c>
      <c r="B17" s="20" t="s">
        <v>2</v>
      </c>
      <c r="C17" s="20">
        <v>15</v>
      </c>
      <c r="D17" s="20">
        <v>3</v>
      </c>
      <c r="E17" s="20">
        <f t="shared" si="0"/>
        <v>10.5</v>
      </c>
      <c r="F17" s="20">
        <v>30</v>
      </c>
      <c r="G17" s="20">
        <f t="shared" si="1"/>
        <v>40.5</v>
      </c>
    </row>
    <row r="18" spans="1:7" x14ac:dyDescent="0.45">
      <c r="A18" s="20" t="s">
        <v>17</v>
      </c>
      <c r="B18" s="20" t="s">
        <v>2</v>
      </c>
      <c r="C18" s="20">
        <v>25</v>
      </c>
      <c r="D18" s="20">
        <v>5</v>
      </c>
      <c r="E18" s="20">
        <f t="shared" si="0"/>
        <v>17.5</v>
      </c>
      <c r="F18" s="20">
        <v>30</v>
      </c>
      <c r="G18" s="20">
        <f t="shared" si="1"/>
        <v>47.5</v>
      </c>
    </row>
    <row r="19" spans="1:7" x14ac:dyDescent="0.45">
      <c r="A19" s="20" t="s">
        <v>18</v>
      </c>
      <c r="B19" s="20" t="s">
        <v>2</v>
      </c>
      <c r="C19" s="20">
        <v>60</v>
      </c>
      <c r="D19" s="20">
        <v>12</v>
      </c>
      <c r="E19" s="20">
        <f t="shared" si="0"/>
        <v>42</v>
      </c>
      <c r="F19" s="20">
        <v>30</v>
      </c>
      <c r="G19" s="20">
        <f t="shared" si="1"/>
        <v>72</v>
      </c>
    </row>
    <row r="20" spans="1:7" x14ac:dyDescent="0.45">
      <c r="A20" s="20" t="s">
        <v>19</v>
      </c>
      <c r="B20" s="20" t="s">
        <v>2</v>
      </c>
      <c r="C20" s="20">
        <v>90</v>
      </c>
      <c r="D20" s="20">
        <v>18</v>
      </c>
      <c r="E20" s="20">
        <f t="shared" si="0"/>
        <v>63</v>
      </c>
      <c r="F20" s="20">
        <v>30</v>
      </c>
      <c r="G20" s="20">
        <f t="shared" si="1"/>
        <v>93</v>
      </c>
    </row>
    <row r="21" spans="1:7" x14ac:dyDescent="0.45">
      <c r="A21" s="20" t="s">
        <v>20</v>
      </c>
      <c r="B21" s="20" t="s">
        <v>2</v>
      </c>
      <c r="C21" s="20">
        <v>40</v>
      </c>
      <c r="D21" s="20">
        <v>8</v>
      </c>
      <c r="E21" s="20">
        <f t="shared" si="0"/>
        <v>28</v>
      </c>
      <c r="F21" s="20">
        <v>30</v>
      </c>
      <c r="G21" s="20">
        <f t="shared" si="1"/>
        <v>58</v>
      </c>
    </row>
    <row r="22" spans="1:7" x14ac:dyDescent="0.45">
      <c r="A22" s="20" t="s">
        <v>21</v>
      </c>
      <c r="B22" s="20" t="s">
        <v>2</v>
      </c>
      <c r="C22" s="20">
        <v>50</v>
      </c>
      <c r="D22" s="20">
        <v>10</v>
      </c>
      <c r="E22" s="20">
        <f t="shared" si="0"/>
        <v>35</v>
      </c>
      <c r="F22" s="20">
        <v>30</v>
      </c>
      <c r="G22" s="20">
        <f t="shared" si="1"/>
        <v>65</v>
      </c>
    </row>
    <row r="23" spans="1:7" x14ac:dyDescent="0.45">
      <c r="A23" s="20" t="s">
        <v>23</v>
      </c>
      <c r="B23" s="20" t="s">
        <v>2</v>
      </c>
      <c r="C23" s="20">
        <v>70</v>
      </c>
      <c r="D23" s="20">
        <v>14</v>
      </c>
      <c r="E23" s="20">
        <f t="shared" si="0"/>
        <v>49</v>
      </c>
      <c r="F23" s="20">
        <v>30</v>
      </c>
      <c r="G23" s="20">
        <f t="shared" si="1"/>
        <v>79</v>
      </c>
    </row>
    <row r="24" spans="1:7" x14ac:dyDescent="0.45">
      <c r="A24" s="20" t="s">
        <v>24</v>
      </c>
      <c r="B24" s="20" t="s">
        <v>2</v>
      </c>
      <c r="C24" s="20">
        <v>35</v>
      </c>
      <c r="D24" s="20">
        <v>7</v>
      </c>
      <c r="E24" s="20">
        <f t="shared" si="0"/>
        <v>24.5</v>
      </c>
      <c r="F24" s="20">
        <v>30</v>
      </c>
      <c r="G24" s="20">
        <f t="shared" si="1"/>
        <v>54.5</v>
      </c>
    </row>
    <row r="25" spans="1:7" x14ac:dyDescent="0.45">
      <c r="A25" s="20" t="s">
        <v>25</v>
      </c>
      <c r="B25" s="20" t="s">
        <v>2</v>
      </c>
      <c r="C25" s="20">
        <v>70</v>
      </c>
      <c r="D25" s="20">
        <v>14</v>
      </c>
      <c r="E25" s="20">
        <f t="shared" si="0"/>
        <v>49</v>
      </c>
      <c r="F25" s="20">
        <v>30</v>
      </c>
      <c r="G25" s="20">
        <f t="shared" si="1"/>
        <v>79</v>
      </c>
    </row>
    <row r="26" spans="1:7" x14ac:dyDescent="0.45">
      <c r="A26" s="20" t="s">
        <v>22</v>
      </c>
      <c r="B26" s="20" t="s">
        <v>2</v>
      </c>
      <c r="C26" s="20">
        <v>55</v>
      </c>
      <c r="D26" s="20">
        <v>11</v>
      </c>
      <c r="E26" s="20">
        <f t="shared" si="0"/>
        <v>38.5</v>
      </c>
      <c r="F26" s="20">
        <v>30</v>
      </c>
      <c r="G26" s="20">
        <f t="shared" si="1"/>
        <v>68.5</v>
      </c>
    </row>
    <row r="27" spans="1:7" x14ac:dyDescent="0.45">
      <c r="A27" s="20" t="s">
        <v>22</v>
      </c>
      <c r="B27" s="20" t="s">
        <v>2</v>
      </c>
      <c r="C27" s="20">
        <v>20</v>
      </c>
      <c r="D27" s="20">
        <v>4</v>
      </c>
      <c r="E27" s="20">
        <f t="shared" si="0"/>
        <v>14</v>
      </c>
      <c r="F27" s="20">
        <v>30</v>
      </c>
      <c r="G27" s="20">
        <f t="shared" si="1"/>
        <v>44</v>
      </c>
    </row>
    <row r="28" spans="1:7" x14ac:dyDescent="0.45">
      <c r="A28" s="20" t="s">
        <v>26</v>
      </c>
      <c r="B28" s="20" t="s">
        <v>2</v>
      </c>
      <c r="C28" s="20">
        <v>85</v>
      </c>
      <c r="D28" s="20">
        <v>17</v>
      </c>
      <c r="E28" s="20">
        <f t="shared" si="0"/>
        <v>59.5</v>
      </c>
      <c r="F28" s="20">
        <v>30</v>
      </c>
      <c r="G28" s="20">
        <f t="shared" si="1"/>
        <v>89.5</v>
      </c>
    </row>
    <row r="29" spans="1:7" x14ac:dyDescent="0.45">
      <c r="A29" s="20" t="s">
        <v>27</v>
      </c>
      <c r="B29" s="20" t="s">
        <v>2</v>
      </c>
      <c r="C29" s="20">
        <v>80</v>
      </c>
      <c r="D29" s="20">
        <v>16</v>
      </c>
      <c r="E29" s="20">
        <f t="shared" si="0"/>
        <v>56</v>
      </c>
      <c r="F29" s="20">
        <v>30</v>
      </c>
      <c r="G29" s="20">
        <f t="shared" si="1"/>
        <v>86</v>
      </c>
    </row>
    <row r="30" spans="1:7" x14ac:dyDescent="0.45">
      <c r="A30" s="20" t="s">
        <v>29</v>
      </c>
      <c r="B30" s="20" t="s">
        <v>2</v>
      </c>
      <c r="C30" s="20">
        <v>25</v>
      </c>
      <c r="D30" s="20">
        <v>5</v>
      </c>
      <c r="E30" s="20">
        <f t="shared" si="0"/>
        <v>17.5</v>
      </c>
      <c r="F30" s="20">
        <v>30</v>
      </c>
      <c r="G30" s="20">
        <f t="shared" si="1"/>
        <v>47.5</v>
      </c>
    </row>
    <row r="31" spans="1:7" x14ac:dyDescent="0.45">
      <c r="A31" s="20" t="s">
        <v>28</v>
      </c>
      <c r="B31" s="20" t="s">
        <v>2</v>
      </c>
      <c r="C31" s="20">
        <v>75</v>
      </c>
      <c r="D31" s="20">
        <v>15</v>
      </c>
      <c r="E31" s="20">
        <f t="shared" si="0"/>
        <v>52.5</v>
      </c>
      <c r="F31" s="20">
        <v>30</v>
      </c>
      <c r="G31" s="20">
        <f t="shared" si="1"/>
        <v>82.5</v>
      </c>
    </row>
    <row r="32" spans="1:7" x14ac:dyDescent="0.45">
      <c r="A32" s="20" t="s">
        <v>30</v>
      </c>
      <c r="B32" s="20" t="s">
        <v>2</v>
      </c>
      <c r="C32" s="20">
        <v>65</v>
      </c>
      <c r="D32" s="20">
        <v>13</v>
      </c>
      <c r="E32" s="20">
        <f t="shared" si="0"/>
        <v>45.5</v>
      </c>
      <c r="F32" s="20">
        <v>30</v>
      </c>
      <c r="G32" s="20">
        <f t="shared" si="1"/>
        <v>75.5</v>
      </c>
    </row>
    <row r="33" spans="1:7" x14ac:dyDescent="0.45">
      <c r="A33" s="20" t="s">
        <v>31</v>
      </c>
      <c r="B33" s="20" t="s">
        <v>2</v>
      </c>
      <c r="C33" s="20">
        <v>75</v>
      </c>
      <c r="D33" s="20">
        <v>15</v>
      </c>
      <c r="E33" s="20">
        <f t="shared" si="0"/>
        <v>52.5</v>
      </c>
      <c r="F33" s="20">
        <v>30</v>
      </c>
      <c r="G33" s="20">
        <f t="shared" si="1"/>
        <v>82.5</v>
      </c>
    </row>
    <row r="34" spans="1:7" x14ac:dyDescent="0.45">
      <c r="A34" s="20" t="s">
        <v>36</v>
      </c>
      <c r="B34" s="20" t="s">
        <v>2</v>
      </c>
      <c r="C34" s="20">
        <v>70</v>
      </c>
      <c r="D34" s="20">
        <v>14</v>
      </c>
      <c r="E34" s="20">
        <f t="shared" si="0"/>
        <v>49</v>
      </c>
      <c r="F34" s="20">
        <v>30</v>
      </c>
      <c r="G34" s="20">
        <f t="shared" si="1"/>
        <v>79</v>
      </c>
    </row>
    <row r="35" spans="1:7" x14ac:dyDescent="0.45">
      <c r="A35" s="20" t="s">
        <v>39</v>
      </c>
      <c r="B35" s="20" t="s">
        <v>2</v>
      </c>
      <c r="C35" s="20">
        <v>65</v>
      </c>
      <c r="D35" s="20">
        <v>13</v>
      </c>
      <c r="E35" s="20">
        <f t="shared" si="0"/>
        <v>45.5</v>
      </c>
      <c r="F35" s="20">
        <v>30</v>
      </c>
      <c r="G35" s="20">
        <f t="shared" si="1"/>
        <v>75.5</v>
      </c>
    </row>
    <row r="36" spans="1:7" x14ac:dyDescent="0.45">
      <c r="A36" s="20" t="s">
        <v>32</v>
      </c>
      <c r="B36" s="20" t="s">
        <v>2</v>
      </c>
      <c r="C36" s="20">
        <v>60</v>
      </c>
      <c r="D36" s="20">
        <v>12</v>
      </c>
      <c r="E36" s="20">
        <f t="shared" si="0"/>
        <v>42</v>
      </c>
      <c r="F36" s="20">
        <v>30</v>
      </c>
      <c r="G36" s="20">
        <f t="shared" si="1"/>
        <v>72</v>
      </c>
    </row>
    <row r="37" spans="1:7" x14ac:dyDescent="0.45">
      <c r="A37" s="20" t="s">
        <v>35</v>
      </c>
      <c r="B37" s="20" t="s">
        <v>2</v>
      </c>
      <c r="C37" s="20">
        <v>80</v>
      </c>
      <c r="D37" s="20">
        <v>16</v>
      </c>
      <c r="E37" s="20">
        <f t="shared" si="0"/>
        <v>56</v>
      </c>
      <c r="F37" s="20">
        <v>30</v>
      </c>
      <c r="G37" s="20">
        <f t="shared" si="1"/>
        <v>86</v>
      </c>
    </row>
    <row r="38" spans="1:7" x14ac:dyDescent="0.45">
      <c r="A38" s="20" t="s">
        <v>33</v>
      </c>
      <c r="B38" s="20" t="s">
        <v>2</v>
      </c>
      <c r="C38" s="20">
        <v>40</v>
      </c>
      <c r="D38" s="20">
        <v>8</v>
      </c>
      <c r="E38" s="20">
        <f t="shared" si="0"/>
        <v>28</v>
      </c>
      <c r="F38" s="20">
        <v>30</v>
      </c>
      <c r="G38" s="20">
        <f t="shared" si="1"/>
        <v>58</v>
      </c>
    </row>
    <row r="39" spans="1:7" x14ac:dyDescent="0.45">
      <c r="A39" s="20" t="s">
        <v>34</v>
      </c>
      <c r="B39" s="20" t="s">
        <v>2</v>
      </c>
      <c r="C39" s="20">
        <v>45</v>
      </c>
      <c r="D39" s="20">
        <v>9</v>
      </c>
      <c r="E39" s="20">
        <f t="shared" si="0"/>
        <v>31.5</v>
      </c>
      <c r="F39" s="20">
        <v>30</v>
      </c>
      <c r="G39" s="20">
        <f t="shared" si="1"/>
        <v>61.5</v>
      </c>
    </row>
    <row r="40" spans="1:7" x14ac:dyDescent="0.45">
      <c r="A40" s="20" t="s">
        <v>37</v>
      </c>
      <c r="B40" s="20" t="s">
        <v>2</v>
      </c>
      <c r="C40" s="20">
        <v>95</v>
      </c>
      <c r="D40" s="20">
        <v>19</v>
      </c>
      <c r="E40" s="20">
        <f t="shared" si="0"/>
        <v>66.5</v>
      </c>
      <c r="F40" s="20">
        <v>30</v>
      </c>
      <c r="G40" s="20">
        <f t="shared" si="1"/>
        <v>96.5</v>
      </c>
    </row>
    <row r="41" spans="1:7" x14ac:dyDescent="0.45">
      <c r="A41" s="20" t="s">
        <v>38</v>
      </c>
      <c r="B41" s="20" t="s">
        <v>2</v>
      </c>
      <c r="C41" s="20">
        <v>75</v>
      </c>
      <c r="D41" s="20">
        <v>15</v>
      </c>
      <c r="E41" s="20">
        <f t="shared" si="0"/>
        <v>52.5</v>
      </c>
      <c r="F41" s="20">
        <v>30</v>
      </c>
      <c r="G41" s="20">
        <f t="shared" si="1"/>
        <v>82.5</v>
      </c>
    </row>
    <row r="42" spans="1:7" x14ac:dyDescent="0.45">
      <c r="A42" s="20" t="s">
        <v>40</v>
      </c>
      <c r="B42" s="20" t="s">
        <v>2</v>
      </c>
      <c r="C42" s="20">
        <v>55</v>
      </c>
      <c r="D42" s="20">
        <v>11</v>
      </c>
      <c r="E42" s="20">
        <f t="shared" si="0"/>
        <v>38.5</v>
      </c>
      <c r="F42" s="20">
        <v>30</v>
      </c>
      <c r="G42" s="20">
        <f t="shared" si="1"/>
        <v>68.5</v>
      </c>
    </row>
    <row r="43" spans="1:7" x14ac:dyDescent="0.45">
      <c r="A43" s="20" t="s">
        <v>42</v>
      </c>
      <c r="B43" s="20" t="s">
        <v>2</v>
      </c>
      <c r="C43" s="20">
        <v>40</v>
      </c>
      <c r="D43" s="20">
        <v>8</v>
      </c>
      <c r="E43" s="20">
        <f t="shared" si="0"/>
        <v>28</v>
      </c>
      <c r="F43" s="20">
        <v>30</v>
      </c>
      <c r="G43" s="20">
        <f t="shared" si="1"/>
        <v>58</v>
      </c>
    </row>
    <row r="44" spans="1:7" x14ac:dyDescent="0.45">
      <c r="A44" s="20" t="s">
        <v>41</v>
      </c>
      <c r="B44" s="20" t="s">
        <v>2</v>
      </c>
      <c r="C44" s="20">
        <v>45</v>
      </c>
      <c r="D44" s="20">
        <v>9</v>
      </c>
      <c r="E44" s="20">
        <f t="shared" si="0"/>
        <v>31.5</v>
      </c>
      <c r="F44" s="20">
        <v>30</v>
      </c>
      <c r="G44" s="20">
        <f t="shared" si="1"/>
        <v>61.5</v>
      </c>
    </row>
    <row r="45" spans="1:7" x14ac:dyDescent="0.45">
      <c r="A45" s="20" t="s">
        <v>174</v>
      </c>
      <c r="B45" s="20" t="s">
        <v>43</v>
      </c>
      <c r="C45" s="20">
        <v>50</v>
      </c>
      <c r="D45" s="20">
        <v>10</v>
      </c>
      <c r="E45" s="20">
        <f t="shared" si="0"/>
        <v>35</v>
      </c>
      <c r="F45" s="20">
        <v>30</v>
      </c>
      <c r="G45" s="20">
        <f t="shared" si="1"/>
        <v>65</v>
      </c>
    </row>
    <row r="46" spans="1:7" x14ac:dyDescent="0.45">
      <c r="A46" s="20" t="s">
        <v>175</v>
      </c>
      <c r="B46" s="20" t="s">
        <v>43</v>
      </c>
      <c r="C46" s="20">
        <v>65</v>
      </c>
      <c r="D46" s="20">
        <v>13</v>
      </c>
      <c r="E46" s="20">
        <f t="shared" si="0"/>
        <v>45.5</v>
      </c>
      <c r="F46" s="20">
        <v>30</v>
      </c>
      <c r="G46" s="20">
        <f t="shared" si="1"/>
        <v>75.5</v>
      </c>
    </row>
    <row r="47" spans="1:7" x14ac:dyDescent="0.45">
      <c r="A47" s="20" t="s">
        <v>176</v>
      </c>
      <c r="B47" s="20" t="s">
        <v>43</v>
      </c>
      <c r="C47" s="20">
        <v>45</v>
      </c>
      <c r="D47" s="20">
        <v>9</v>
      </c>
      <c r="E47" s="20">
        <f t="shared" si="0"/>
        <v>31.5</v>
      </c>
      <c r="F47" s="20">
        <v>30</v>
      </c>
      <c r="G47" s="20">
        <f t="shared" si="1"/>
        <v>61.5</v>
      </c>
    </row>
    <row r="48" spans="1:7" x14ac:dyDescent="0.45">
      <c r="A48" s="20" t="s">
        <v>177</v>
      </c>
      <c r="B48" s="20" t="s">
        <v>43</v>
      </c>
      <c r="C48" s="20">
        <v>20</v>
      </c>
      <c r="D48" s="20">
        <v>4</v>
      </c>
      <c r="E48" s="20">
        <f t="shared" si="0"/>
        <v>14</v>
      </c>
      <c r="F48" s="20">
        <v>30</v>
      </c>
      <c r="G48" s="20">
        <f t="shared" si="1"/>
        <v>44</v>
      </c>
    </row>
    <row r="49" spans="1:7" x14ac:dyDescent="0.45">
      <c r="A49" s="20" t="s">
        <v>175</v>
      </c>
      <c r="B49" s="20" t="s">
        <v>43</v>
      </c>
      <c r="C49" s="20">
        <v>10</v>
      </c>
      <c r="D49" s="20">
        <v>2</v>
      </c>
      <c r="E49" s="20">
        <f t="shared" si="0"/>
        <v>7</v>
      </c>
      <c r="F49" s="20">
        <v>30</v>
      </c>
      <c r="G49" s="20">
        <f t="shared" si="1"/>
        <v>37</v>
      </c>
    </row>
    <row r="50" spans="1:7" x14ac:dyDescent="0.45">
      <c r="A50" s="20" t="s">
        <v>44</v>
      </c>
      <c r="B50" s="20" t="s">
        <v>43</v>
      </c>
      <c r="C50" s="20">
        <v>45</v>
      </c>
      <c r="D50" s="20">
        <v>9</v>
      </c>
      <c r="E50" s="20">
        <f t="shared" si="0"/>
        <v>31.5</v>
      </c>
      <c r="F50" s="20">
        <v>30</v>
      </c>
      <c r="G50" s="20">
        <f t="shared" si="1"/>
        <v>61.5</v>
      </c>
    </row>
    <row r="51" spans="1:7" x14ac:dyDescent="0.45">
      <c r="A51" s="20" t="s">
        <v>45</v>
      </c>
      <c r="B51" s="20" t="s">
        <v>43</v>
      </c>
      <c r="C51" s="20">
        <v>75</v>
      </c>
      <c r="D51" s="20">
        <v>15</v>
      </c>
      <c r="E51" s="20">
        <f t="shared" si="0"/>
        <v>52.5</v>
      </c>
      <c r="F51" s="20">
        <v>30</v>
      </c>
      <c r="G51" s="20">
        <f t="shared" si="1"/>
        <v>82.5</v>
      </c>
    </row>
    <row r="52" spans="1:7" x14ac:dyDescent="0.45">
      <c r="A52" s="20" t="s">
        <v>47</v>
      </c>
      <c r="B52" s="20" t="s">
        <v>43</v>
      </c>
      <c r="C52" s="20">
        <v>35</v>
      </c>
      <c r="D52" s="20">
        <v>7</v>
      </c>
      <c r="E52" s="20">
        <f t="shared" si="0"/>
        <v>24.5</v>
      </c>
      <c r="F52" s="20">
        <v>30</v>
      </c>
      <c r="G52" s="20">
        <f t="shared" si="1"/>
        <v>54.5</v>
      </c>
    </row>
    <row r="53" spans="1:7" x14ac:dyDescent="0.45">
      <c r="A53" s="20" t="s">
        <v>48</v>
      </c>
      <c r="B53" s="20" t="s">
        <v>43</v>
      </c>
      <c r="C53" s="20">
        <v>85</v>
      </c>
      <c r="D53" s="20">
        <v>17</v>
      </c>
      <c r="E53" s="20">
        <f t="shared" si="0"/>
        <v>59.5</v>
      </c>
      <c r="F53" s="20">
        <v>30</v>
      </c>
      <c r="G53" s="20">
        <f t="shared" si="1"/>
        <v>89.5</v>
      </c>
    </row>
    <row r="54" spans="1:7" x14ac:dyDescent="0.45">
      <c r="A54" s="20" t="s">
        <v>46</v>
      </c>
      <c r="B54" s="20" t="s">
        <v>43</v>
      </c>
      <c r="C54" s="20">
        <v>60</v>
      </c>
      <c r="D54" s="20">
        <v>12</v>
      </c>
      <c r="E54" s="20">
        <f t="shared" si="0"/>
        <v>42</v>
      </c>
      <c r="F54" s="20">
        <v>30</v>
      </c>
      <c r="G54" s="20">
        <f t="shared" si="1"/>
        <v>72</v>
      </c>
    </row>
    <row r="55" spans="1:7" x14ac:dyDescent="0.45">
      <c r="A55" s="20" t="s">
        <v>49</v>
      </c>
      <c r="B55" s="20" t="s">
        <v>43</v>
      </c>
      <c r="C55" s="20">
        <v>60</v>
      </c>
      <c r="D55" s="20">
        <v>12</v>
      </c>
      <c r="E55" s="20">
        <f t="shared" si="0"/>
        <v>42</v>
      </c>
      <c r="F55" s="20">
        <v>30</v>
      </c>
      <c r="G55" s="20">
        <f t="shared" si="1"/>
        <v>72</v>
      </c>
    </row>
    <row r="56" spans="1:7" x14ac:dyDescent="0.45">
      <c r="A56" s="20" t="s">
        <v>50</v>
      </c>
      <c r="B56" s="20" t="s">
        <v>43</v>
      </c>
      <c r="C56" s="20">
        <v>55</v>
      </c>
      <c r="D56" s="20">
        <v>11</v>
      </c>
      <c r="E56" s="20">
        <f t="shared" si="0"/>
        <v>38.5</v>
      </c>
      <c r="F56" s="20">
        <v>30</v>
      </c>
      <c r="G56" s="20">
        <f t="shared" si="1"/>
        <v>68.5</v>
      </c>
    </row>
    <row r="57" spans="1:7" x14ac:dyDescent="0.45">
      <c r="A57" s="20" t="s">
        <v>52</v>
      </c>
      <c r="B57" s="20" t="s">
        <v>43</v>
      </c>
      <c r="C57" s="20">
        <v>30</v>
      </c>
      <c r="D57" s="20">
        <v>6</v>
      </c>
      <c r="E57" s="20">
        <f t="shared" si="0"/>
        <v>21</v>
      </c>
      <c r="F57" s="20">
        <v>30</v>
      </c>
      <c r="G57" s="20">
        <f t="shared" si="1"/>
        <v>51</v>
      </c>
    </row>
    <row r="58" spans="1:7" x14ac:dyDescent="0.45">
      <c r="A58" s="20" t="s">
        <v>51</v>
      </c>
      <c r="B58" s="20" t="s">
        <v>43</v>
      </c>
      <c r="C58" s="20">
        <v>45</v>
      </c>
      <c r="D58" s="20">
        <v>9</v>
      </c>
      <c r="E58" s="20">
        <f t="shared" si="0"/>
        <v>31.5</v>
      </c>
      <c r="F58" s="20">
        <v>30</v>
      </c>
      <c r="G58" s="20">
        <f t="shared" si="1"/>
        <v>61.5</v>
      </c>
    </row>
    <row r="59" spans="1:7" x14ac:dyDescent="0.45">
      <c r="A59" s="20" t="s">
        <v>56</v>
      </c>
      <c r="B59" s="20" t="s">
        <v>43</v>
      </c>
      <c r="C59" s="20">
        <v>95</v>
      </c>
      <c r="D59" s="20">
        <v>19</v>
      </c>
      <c r="E59" s="20">
        <f t="shared" si="0"/>
        <v>66.5</v>
      </c>
      <c r="F59" s="20">
        <v>30</v>
      </c>
      <c r="G59" s="20">
        <f t="shared" si="1"/>
        <v>96.5</v>
      </c>
    </row>
    <row r="60" spans="1:7" x14ac:dyDescent="0.45">
      <c r="A60" s="20" t="s">
        <v>53</v>
      </c>
      <c r="B60" s="20" t="s">
        <v>43</v>
      </c>
      <c r="C60" s="20">
        <v>65</v>
      </c>
      <c r="D60" s="20">
        <v>13</v>
      </c>
      <c r="E60" s="20">
        <f t="shared" si="0"/>
        <v>45.5</v>
      </c>
      <c r="F60" s="20">
        <v>30</v>
      </c>
      <c r="G60" s="20">
        <f t="shared" si="1"/>
        <v>75.5</v>
      </c>
    </row>
    <row r="61" spans="1:7" x14ac:dyDescent="0.45">
      <c r="A61" s="20" t="s">
        <v>54</v>
      </c>
      <c r="B61" s="20" t="s">
        <v>43</v>
      </c>
      <c r="C61" s="20">
        <v>85</v>
      </c>
      <c r="D61" s="20">
        <v>17</v>
      </c>
      <c r="E61" s="20">
        <f t="shared" si="0"/>
        <v>59.5</v>
      </c>
      <c r="F61" s="20">
        <v>30</v>
      </c>
      <c r="G61" s="20">
        <f t="shared" si="1"/>
        <v>89.5</v>
      </c>
    </row>
    <row r="62" spans="1:7" x14ac:dyDescent="0.45">
      <c r="A62" s="20" t="s">
        <v>178</v>
      </c>
      <c r="B62" s="20" t="s">
        <v>43</v>
      </c>
      <c r="C62" s="20">
        <v>55</v>
      </c>
      <c r="D62" s="20">
        <v>11</v>
      </c>
      <c r="E62" s="20">
        <f t="shared" si="0"/>
        <v>38.5</v>
      </c>
      <c r="F62" s="20">
        <v>30</v>
      </c>
      <c r="G62" s="20">
        <f t="shared" si="1"/>
        <v>68.5</v>
      </c>
    </row>
    <row r="63" spans="1:7" x14ac:dyDescent="0.45">
      <c r="A63" s="20" t="s">
        <v>55</v>
      </c>
      <c r="B63" s="20" t="s">
        <v>43</v>
      </c>
      <c r="C63" s="20">
        <v>15</v>
      </c>
      <c r="D63" s="20">
        <v>3</v>
      </c>
      <c r="E63" s="20">
        <f t="shared" si="0"/>
        <v>10.5</v>
      </c>
      <c r="F63" s="20">
        <v>30</v>
      </c>
      <c r="G63" s="20">
        <f t="shared" si="1"/>
        <v>40.5</v>
      </c>
    </row>
    <row r="64" spans="1:7" x14ac:dyDescent="0.45">
      <c r="A64" s="20" t="s">
        <v>57</v>
      </c>
      <c r="B64" s="20" t="s">
        <v>43</v>
      </c>
      <c r="C64" s="20">
        <v>50</v>
      </c>
      <c r="D64" s="20">
        <v>10</v>
      </c>
      <c r="E64" s="20">
        <f t="shared" si="0"/>
        <v>35</v>
      </c>
      <c r="F64" s="20">
        <v>30</v>
      </c>
      <c r="G64" s="20">
        <f t="shared" si="1"/>
        <v>65</v>
      </c>
    </row>
    <row r="65" spans="1:8" x14ac:dyDescent="0.45">
      <c r="A65" s="20" t="s">
        <v>59</v>
      </c>
      <c r="B65" s="20" t="s">
        <v>43</v>
      </c>
      <c r="C65" s="20">
        <v>70</v>
      </c>
      <c r="D65" s="20">
        <v>14</v>
      </c>
      <c r="E65" s="20">
        <f t="shared" si="0"/>
        <v>49</v>
      </c>
      <c r="F65" s="20">
        <v>30</v>
      </c>
      <c r="G65" s="20">
        <f t="shared" si="1"/>
        <v>79</v>
      </c>
    </row>
    <row r="66" spans="1:8" x14ac:dyDescent="0.45">
      <c r="A66" s="20" t="s">
        <v>51</v>
      </c>
      <c r="B66" s="20" t="s">
        <v>43</v>
      </c>
      <c r="C66" s="20">
        <v>0</v>
      </c>
      <c r="D66" s="20">
        <v>0</v>
      </c>
      <c r="E66" s="20">
        <f t="shared" si="0"/>
        <v>0</v>
      </c>
      <c r="F66" s="20">
        <v>30</v>
      </c>
      <c r="G66" s="20">
        <f t="shared" si="1"/>
        <v>30</v>
      </c>
    </row>
    <row r="67" spans="1:8" x14ac:dyDescent="0.45">
      <c r="A67" s="20" t="s">
        <v>61</v>
      </c>
      <c r="B67" s="20" t="s">
        <v>43</v>
      </c>
      <c r="C67" s="20">
        <v>40</v>
      </c>
      <c r="D67" s="20">
        <v>8</v>
      </c>
      <c r="E67" s="20">
        <f t="shared" ref="E67:E107" si="2">(D67/20)*70</f>
        <v>28</v>
      </c>
      <c r="F67" s="20">
        <v>30</v>
      </c>
      <c r="G67" s="20">
        <f t="shared" ref="G67:G107" si="3">E67+F67</f>
        <v>58</v>
      </c>
    </row>
    <row r="68" spans="1:8" x14ac:dyDescent="0.45">
      <c r="A68" s="20" t="s">
        <v>62</v>
      </c>
      <c r="B68" s="20" t="s">
        <v>43</v>
      </c>
      <c r="C68" s="20">
        <v>75</v>
      </c>
      <c r="D68" s="20">
        <v>15</v>
      </c>
      <c r="E68" s="20">
        <f t="shared" si="2"/>
        <v>52.5</v>
      </c>
      <c r="F68" s="20">
        <v>30</v>
      </c>
      <c r="G68" s="20">
        <f t="shared" si="3"/>
        <v>82.5</v>
      </c>
    </row>
    <row r="69" spans="1:8" x14ac:dyDescent="0.45">
      <c r="A69" s="20" t="s">
        <v>63</v>
      </c>
      <c r="B69" s="20" t="s">
        <v>43</v>
      </c>
      <c r="C69" s="20">
        <v>55</v>
      </c>
      <c r="D69" s="20">
        <v>11</v>
      </c>
      <c r="E69" s="20">
        <f t="shared" si="2"/>
        <v>38.5</v>
      </c>
      <c r="F69" s="20">
        <v>30</v>
      </c>
      <c r="G69" s="20">
        <f t="shared" si="3"/>
        <v>68.5</v>
      </c>
    </row>
    <row r="70" spans="1:8" x14ac:dyDescent="0.45">
      <c r="A70" s="20" t="s">
        <v>60</v>
      </c>
      <c r="B70" s="20" t="s">
        <v>43</v>
      </c>
      <c r="C70" s="20">
        <v>85</v>
      </c>
      <c r="D70" s="20">
        <v>17</v>
      </c>
      <c r="E70" s="20">
        <f t="shared" si="2"/>
        <v>59.5</v>
      </c>
      <c r="F70" s="20">
        <v>30</v>
      </c>
      <c r="G70" s="20">
        <f t="shared" si="3"/>
        <v>89.5</v>
      </c>
      <c r="H70" s="21">
        <f>AVERAGE(G45:G70)</f>
        <v>66.884615384615387</v>
      </c>
    </row>
    <row r="71" spans="1:8" x14ac:dyDescent="0.45">
      <c r="A71" s="20" t="s">
        <v>180</v>
      </c>
      <c r="B71" s="20" t="s">
        <v>164</v>
      </c>
      <c r="C71" s="20">
        <v>85</v>
      </c>
      <c r="D71" s="20">
        <v>17</v>
      </c>
      <c r="E71" s="20">
        <f t="shared" si="2"/>
        <v>59.5</v>
      </c>
      <c r="F71" s="20">
        <v>30</v>
      </c>
      <c r="G71" s="20">
        <f t="shared" si="3"/>
        <v>89.5</v>
      </c>
    </row>
    <row r="72" spans="1:8" x14ac:dyDescent="0.45">
      <c r="A72" s="20" t="s">
        <v>74</v>
      </c>
      <c r="B72" s="20" t="s">
        <v>164</v>
      </c>
      <c r="C72" s="20">
        <v>85</v>
      </c>
      <c r="D72" s="20">
        <v>17</v>
      </c>
      <c r="E72" s="20">
        <f t="shared" si="2"/>
        <v>59.5</v>
      </c>
      <c r="F72" s="20">
        <v>30</v>
      </c>
      <c r="G72" s="20">
        <f t="shared" si="3"/>
        <v>89.5</v>
      </c>
    </row>
    <row r="73" spans="1:8" x14ac:dyDescent="0.45">
      <c r="A73" s="20" t="s">
        <v>78</v>
      </c>
      <c r="B73" s="20" t="s">
        <v>164</v>
      </c>
      <c r="C73" s="20">
        <v>85</v>
      </c>
      <c r="D73" s="20">
        <v>17</v>
      </c>
      <c r="E73" s="20">
        <f t="shared" si="2"/>
        <v>59.5</v>
      </c>
      <c r="F73" s="20">
        <v>30</v>
      </c>
      <c r="G73" s="20">
        <f t="shared" si="3"/>
        <v>89.5</v>
      </c>
    </row>
    <row r="74" spans="1:8" x14ac:dyDescent="0.45">
      <c r="A74" s="20" t="s">
        <v>75</v>
      </c>
      <c r="B74" s="20" t="s">
        <v>164</v>
      </c>
      <c r="C74" s="20">
        <v>85</v>
      </c>
      <c r="D74" s="20">
        <v>17</v>
      </c>
      <c r="E74" s="20">
        <f t="shared" si="2"/>
        <v>59.5</v>
      </c>
      <c r="F74" s="20">
        <v>30</v>
      </c>
      <c r="G74" s="20">
        <f t="shared" si="3"/>
        <v>89.5</v>
      </c>
    </row>
    <row r="75" spans="1:8" x14ac:dyDescent="0.45">
      <c r="A75" s="20" t="s">
        <v>73</v>
      </c>
      <c r="B75" s="20" t="s">
        <v>164</v>
      </c>
      <c r="C75" s="20">
        <v>70</v>
      </c>
      <c r="D75" s="20">
        <v>14</v>
      </c>
      <c r="E75" s="20">
        <f t="shared" si="2"/>
        <v>49</v>
      </c>
      <c r="F75" s="20">
        <v>30</v>
      </c>
      <c r="G75" s="20">
        <f t="shared" si="3"/>
        <v>79</v>
      </c>
    </row>
    <row r="76" spans="1:8" x14ac:dyDescent="0.45">
      <c r="A76" s="20" t="s">
        <v>77</v>
      </c>
      <c r="B76" s="20" t="s">
        <v>164</v>
      </c>
      <c r="C76" s="20">
        <v>90</v>
      </c>
      <c r="D76" s="20">
        <v>18</v>
      </c>
      <c r="E76" s="20">
        <f t="shared" si="2"/>
        <v>63</v>
      </c>
      <c r="F76" s="20">
        <v>30</v>
      </c>
      <c r="G76" s="20">
        <f t="shared" si="3"/>
        <v>93</v>
      </c>
    </row>
    <row r="77" spans="1:8" x14ac:dyDescent="0.45">
      <c r="A77" s="20" t="s">
        <v>76</v>
      </c>
      <c r="B77" s="20" t="s">
        <v>164</v>
      </c>
      <c r="C77" s="20">
        <v>80</v>
      </c>
      <c r="D77" s="20">
        <v>16</v>
      </c>
      <c r="E77" s="20">
        <f t="shared" si="2"/>
        <v>56</v>
      </c>
      <c r="F77" s="20">
        <v>30</v>
      </c>
      <c r="G77" s="20">
        <f t="shared" si="3"/>
        <v>86</v>
      </c>
    </row>
    <row r="78" spans="1:8" x14ac:dyDescent="0.45">
      <c r="A78" s="20" t="s">
        <v>79</v>
      </c>
      <c r="B78" s="20" t="s">
        <v>164</v>
      </c>
      <c r="C78" s="20">
        <v>85</v>
      </c>
      <c r="D78" s="20">
        <v>17</v>
      </c>
      <c r="E78" s="20">
        <f t="shared" si="2"/>
        <v>59.5</v>
      </c>
      <c r="F78" s="20">
        <v>30</v>
      </c>
      <c r="G78" s="20">
        <f t="shared" si="3"/>
        <v>89.5</v>
      </c>
    </row>
    <row r="79" spans="1:8" x14ac:dyDescent="0.45">
      <c r="A79" s="20" t="s">
        <v>80</v>
      </c>
      <c r="B79" s="20" t="s">
        <v>164</v>
      </c>
      <c r="C79" s="20">
        <v>85</v>
      </c>
      <c r="D79" s="20">
        <v>17</v>
      </c>
      <c r="E79" s="20">
        <f t="shared" si="2"/>
        <v>59.5</v>
      </c>
      <c r="F79" s="20">
        <v>30</v>
      </c>
      <c r="G79" s="20">
        <f t="shared" si="3"/>
        <v>89.5</v>
      </c>
    </row>
    <row r="80" spans="1:8" x14ac:dyDescent="0.45">
      <c r="A80" s="20" t="s">
        <v>81</v>
      </c>
      <c r="B80" s="20" t="s">
        <v>164</v>
      </c>
      <c r="C80" s="20">
        <v>85</v>
      </c>
      <c r="D80" s="20">
        <v>17</v>
      </c>
      <c r="E80" s="20">
        <f t="shared" si="2"/>
        <v>59.5</v>
      </c>
      <c r="F80" s="20">
        <v>30</v>
      </c>
      <c r="G80" s="20">
        <f t="shared" si="3"/>
        <v>89.5</v>
      </c>
    </row>
    <row r="81" spans="1:7" x14ac:dyDescent="0.45">
      <c r="A81" s="20" t="s">
        <v>82</v>
      </c>
      <c r="B81" s="20" t="s">
        <v>164</v>
      </c>
      <c r="C81" s="20">
        <v>100</v>
      </c>
      <c r="D81" s="20">
        <v>20</v>
      </c>
      <c r="E81" s="20">
        <f t="shared" si="2"/>
        <v>70</v>
      </c>
      <c r="F81" s="20">
        <v>30</v>
      </c>
      <c r="G81" s="20">
        <f t="shared" si="3"/>
        <v>100</v>
      </c>
    </row>
    <row r="82" spans="1:7" x14ac:dyDescent="0.45">
      <c r="A82" s="20" t="s">
        <v>83</v>
      </c>
      <c r="B82" s="20" t="s">
        <v>164</v>
      </c>
      <c r="C82" s="20">
        <v>75</v>
      </c>
      <c r="D82" s="20">
        <v>15</v>
      </c>
      <c r="E82" s="20">
        <f t="shared" si="2"/>
        <v>52.5</v>
      </c>
      <c r="F82" s="20">
        <v>30</v>
      </c>
      <c r="G82" s="20">
        <f t="shared" si="3"/>
        <v>82.5</v>
      </c>
    </row>
    <row r="83" spans="1:7" x14ac:dyDescent="0.45">
      <c r="A83" s="20" t="s">
        <v>84</v>
      </c>
      <c r="B83" s="20" t="s">
        <v>164</v>
      </c>
      <c r="C83" s="20">
        <v>75</v>
      </c>
      <c r="D83" s="20">
        <v>15</v>
      </c>
      <c r="E83" s="20">
        <f t="shared" si="2"/>
        <v>52.5</v>
      </c>
      <c r="F83" s="20">
        <v>30</v>
      </c>
      <c r="G83" s="20">
        <f t="shared" si="3"/>
        <v>82.5</v>
      </c>
    </row>
    <row r="84" spans="1:7" x14ac:dyDescent="0.45">
      <c r="A84" s="20" t="s">
        <v>88</v>
      </c>
      <c r="B84" s="20" t="s">
        <v>164</v>
      </c>
      <c r="C84" s="20">
        <v>85</v>
      </c>
      <c r="D84" s="20">
        <v>17</v>
      </c>
      <c r="E84" s="20">
        <f t="shared" si="2"/>
        <v>59.5</v>
      </c>
      <c r="F84" s="20">
        <v>30</v>
      </c>
      <c r="G84" s="20">
        <f t="shared" si="3"/>
        <v>89.5</v>
      </c>
    </row>
    <row r="85" spans="1:7" x14ac:dyDescent="0.45">
      <c r="A85" s="20" t="s">
        <v>90</v>
      </c>
      <c r="B85" s="20" t="s">
        <v>164</v>
      </c>
      <c r="C85" s="20">
        <v>80</v>
      </c>
      <c r="D85" s="20">
        <v>16</v>
      </c>
      <c r="E85" s="20">
        <f t="shared" si="2"/>
        <v>56</v>
      </c>
      <c r="F85" s="20">
        <v>30</v>
      </c>
      <c r="G85" s="20">
        <f t="shared" si="3"/>
        <v>86</v>
      </c>
    </row>
    <row r="86" spans="1:7" x14ac:dyDescent="0.45">
      <c r="A86" s="20" t="s">
        <v>92</v>
      </c>
      <c r="B86" s="20" t="s">
        <v>164</v>
      </c>
      <c r="C86" s="20">
        <v>85</v>
      </c>
      <c r="D86" s="20">
        <v>17</v>
      </c>
      <c r="E86" s="20">
        <f t="shared" si="2"/>
        <v>59.5</v>
      </c>
      <c r="F86" s="20">
        <v>30</v>
      </c>
      <c r="G86" s="20">
        <f t="shared" si="3"/>
        <v>89.5</v>
      </c>
    </row>
    <row r="87" spans="1:7" x14ac:dyDescent="0.45">
      <c r="A87" s="20" t="s">
        <v>94</v>
      </c>
      <c r="B87" s="20" t="s">
        <v>164</v>
      </c>
      <c r="C87" s="20">
        <v>90</v>
      </c>
      <c r="D87" s="20">
        <v>18</v>
      </c>
      <c r="E87" s="20">
        <f t="shared" si="2"/>
        <v>63</v>
      </c>
      <c r="F87" s="20">
        <v>30</v>
      </c>
      <c r="G87" s="20">
        <f t="shared" si="3"/>
        <v>93</v>
      </c>
    </row>
    <row r="88" spans="1:7" x14ac:dyDescent="0.45">
      <c r="A88" s="20" t="s">
        <v>93</v>
      </c>
      <c r="B88" s="20" t="s">
        <v>164</v>
      </c>
      <c r="C88" s="20">
        <v>75</v>
      </c>
      <c r="D88" s="20">
        <v>15</v>
      </c>
      <c r="E88" s="20">
        <f t="shared" si="2"/>
        <v>52.5</v>
      </c>
      <c r="F88" s="20">
        <v>30</v>
      </c>
      <c r="G88" s="20">
        <f t="shared" si="3"/>
        <v>82.5</v>
      </c>
    </row>
    <row r="89" spans="1:7" x14ac:dyDescent="0.45">
      <c r="A89" s="20" t="s">
        <v>96</v>
      </c>
      <c r="B89" s="20" t="s">
        <v>164</v>
      </c>
      <c r="C89" s="20">
        <v>45</v>
      </c>
      <c r="D89" s="20">
        <v>9</v>
      </c>
      <c r="E89" s="20">
        <f t="shared" si="2"/>
        <v>31.5</v>
      </c>
      <c r="F89" s="20">
        <v>30</v>
      </c>
      <c r="G89" s="20">
        <f t="shared" si="3"/>
        <v>61.5</v>
      </c>
    </row>
    <row r="90" spans="1:7" x14ac:dyDescent="0.45">
      <c r="A90" s="20" t="s">
        <v>98</v>
      </c>
      <c r="B90" s="20" t="s">
        <v>164</v>
      </c>
      <c r="C90" s="20">
        <v>55</v>
      </c>
      <c r="D90" s="20">
        <v>11</v>
      </c>
      <c r="E90" s="20">
        <f t="shared" si="2"/>
        <v>38.5</v>
      </c>
      <c r="F90" s="20">
        <v>30</v>
      </c>
      <c r="G90" s="20">
        <f t="shared" si="3"/>
        <v>68.5</v>
      </c>
    </row>
    <row r="91" spans="1:7" x14ac:dyDescent="0.45">
      <c r="A91" s="20" t="s">
        <v>97</v>
      </c>
      <c r="B91" s="20" t="s">
        <v>164</v>
      </c>
      <c r="C91" s="20">
        <v>65</v>
      </c>
      <c r="D91" s="20">
        <v>13</v>
      </c>
      <c r="E91" s="20">
        <f t="shared" si="2"/>
        <v>45.5</v>
      </c>
      <c r="F91" s="20">
        <v>30</v>
      </c>
      <c r="G91" s="20">
        <f t="shared" si="3"/>
        <v>75.5</v>
      </c>
    </row>
    <row r="92" spans="1:7" x14ac:dyDescent="0.45">
      <c r="A92" s="20" t="s">
        <v>99</v>
      </c>
      <c r="B92" s="20" t="s">
        <v>164</v>
      </c>
      <c r="C92" s="20">
        <v>65</v>
      </c>
      <c r="D92" s="20">
        <v>13</v>
      </c>
      <c r="E92" s="20">
        <f t="shared" si="2"/>
        <v>45.5</v>
      </c>
      <c r="F92" s="20">
        <v>30</v>
      </c>
      <c r="G92" s="20">
        <f t="shared" si="3"/>
        <v>75.5</v>
      </c>
    </row>
    <row r="93" spans="1:7" x14ac:dyDescent="0.45">
      <c r="A93" s="20" t="s">
        <v>85</v>
      </c>
      <c r="B93" s="20" t="s">
        <v>164</v>
      </c>
      <c r="C93" s="20">
        <v>70</v>
      </c>
      <c r="D93" s="20">
        <v>14</v>
      </c>
      <c r="E93" s="20">
        <f t="shared" si="2"/>
        <v>49</v>
      </c>
      <c r="F93" s="20">
        <v>30</v>
      </c>
      <c r="G93" s="20">
        <f t="shared" si="3"/>
        <v>79</v>
      </c>
    </row>
    <row r="94" spans="1:7" x14ac:dyDescent="0.45">
      <c r="A94" s="20" t="s">
        <v>87</v>
      </c>
      <c r="B94" s="20" t="s">
        <v>164</v>
      </c>
      <c r="C94" s="20">
        <v>60</v>
      </c>
      <c r="D94" s="20">
        <v>12</v>
      </c>
      <c r="E94" s="20">
        <f t="shared" si="2"/>
        <v>42</v>
      </c>
      <c r="F94" s="20">
        <v>30</v>
      </c>
      <c r="G94" s="20">
        <f t="shared" si="3"/>
        <v>72</v>
      </c>
    </row>
    <row r="95" spans="1:7" x14ac:dyDescent="0.45">
      <c r="A95" s="20" t="s">
        <v>86</v>
      </c>
      <c r="B95" s="20" t="s">
        <v>164</v>
      </c>
      <c r="C95" s="20">
        <v>55</v>
      </c>
      <c r="D95" s="20">
        <v>11</v>
      </c>
      <c r="E95" s="20">
        <f t="shared" si="2"/>
        <v>38.5</v>
      </c>
      <c r="F95" s="20">
        <v>30</v>
      </c>
      <c r="G95" s="20">
        <f t="shared" si="3"/>
        <v>68.5</v>
      </c>
    </row>
    <row r="96" spans="1:7" x14ac:dyDescent="0.45">
      <c r="A96" s="20" t="s">
        <v>91</v>
      </c>
      <c r="B96" s="20" t="s">
        <v>164</v>
      </c>
      <c r="C96" s="20">
        <v>95</v>
      </c>
      <c r="D96" s="20">
        <v>19</v>
      </c>
      <c r="E96" s="20">
        <f t="shared" si="2"/>
        <v>66.5</v>
      </c>
      <c r="F96" s="20">
        <v>30</v>
      </c>
      <c r="G96" s="20">
        <f t="shared" si="3"/>
        <v>96.5</v>
      </c>
    </row>
    <row r="97" spans="1:8" x14ac:dyDescent="0.45">
      <c r="A97" s="20" t="s">
        <v>95</v>
      </c>
      <c r="B97" s="20" t="s">
        <v>164</v>
      </c>
      <c r="C97" s="20">
        <v>65</v>
      </c>
      <c r="D97" s="20">
        <v>13</v>
      </c>
      <c r="E97" s="20">
        <f t="shared" si="2"/>
        <v>45.5</v>
      </c>
      <c r="F97" s="20">
        <v>30</v>
      </c>
      <c r="G97" s="20">
        <f t="shared" si="3"/>
        <v>75.5</v>
      </c>
    </row>
    <row r="98" spans="1:8" x14ac:dyDescent="0.45">
      <c r="A98" s="20" t="s">
        <v>89</v>
      </c>
      <c r="B98" s="20" t="s">
        <v>164</v>
      </c>
      <c r="C98" s="20">
        <v>75</v>
      </c>
      <c r="D98" s="20">
        <v>15</v>
      </c>
      <c r="E98" s="20">
        <f t="shared" si="2"/>
        <v>52.5</v>
      </c>
      <c r="F98" s="20">
        <v>30</v>
      </c>
      <c r="G98" s="20">
        <f t="shared" si="3"/>
        <v>82.5</v>
      </c>
      <c r="H98" s="21">
        <f>AVERAGE(G71:G98)</f>
        <v>83.75</v>
      </c>
    </row>
    <row r="99" spans="1:8" x14ac:dyDescent="0.45">
      <c r="A99" s="20" t="s">
        <v>181</v>
      </c>
      <c r="B99" s="20" t="s">
        <v>64</v>
      </c>
      <c r="C99" s="20">
        <v>35</v>
      </c>
      <c r="D99" s="20">
        <v>8</v>
      </c>
      <c r="E99" s="20">
        <f t="shared" si="2"/>
        <v>28</v>
      </c>
      <c r="F99" s="20">
        <v>30</v>
      </c>
      <c r="G99" s="20">
        <f t="shared" si="3"/>
        <v>58</v>
      </c>
    </row>
    <row r="100" spans="1:8" x14ac:dyDescent="0.45">
      <c r="A100" s="20" t="s">
        <v>65</v>
      </c>
      <c r="B100" s="20" t="s">
        <v>64</v>
      </c>
      <c r="C100" s="20">
        <v>75</v>
      </c>
      <c r="D100" s="20">
        <v>15</v>
      </c>
      <c r="E100" s="20">
        <f t="shared" si="2"/>
        <v>52.5</v>
      </c>
      <c r="F100" s="20">
        <v>30</v>
      </c>
      <c r="G100" s="20">
        <f t="shared" si="3"/>
        <v>82.5</v>
      </c>
    </row>
    <row r="101" spans="1:8" x14ac:dyDescent="0.45">
      <c r="A101" s="20" t="s">
        <v>66</v>
      </c>
      <c r="B101" s="20" t="s">
        <v>64</v>
      </c>
      <c r="C101" s="20">
        <v>80</v>
      </c>
      <c r="D101" s="20">
        <v>16</v>
      </c>
      <c r="E101" s="20">
        <f t="shared" si="2"/>
        <v>56</v>
      </c>
      <c r="F101" s="20">
        <v>30</v>
      </c>
      <c r="G101" s="20">
        <f t="shared" si="3"/>
        <v>86</v>
      </c>
    </row>
    <row r="102" spans="1:8" x14ac:dyDescent="0.45">
      <c r="A102" s="20" t="s">
        <v>70</v>
      </c>
      <c r="B102" s="20" t="s">
        <v>64</v>
      </c>
      <c r="C102" s="20">
        <v>40</v>
      </c>
      <c r="D102" s="20">
        <v>8</v>
      </c>
      <c r="E102" s="20">
        <f t="shared" si="2"/>
        <v>28</v>
      </c>
      <c r="F102" s="20">
        <v>30</v>
      </c>
      <c r="G102" s="20">
        <f t="shared" si="3"/>
        <v>58</v>
      </c>
    </row>
    <row r="103" spans="1:8" x14ac:dyDescent="0.45">
      <c r="A103" s="20" t="s">
        <v>69</v>
      </c>
      <c r="B103" s="20" t="s">
        <v>64</v>
      </c>
      <c r="C103" s="20">
        <v>80</v>
      </c>
      <c r="D103" s="20">
        <v>16</v>
      </c>
      <c r="E103" s="20">
        <f t="shared" si="2"/>
        <v>56</v>
      </c>
      <c r="F103" s="20">
        <v>30</v>
      </c>
      <c r="G103" s="20">
        <f t="shared" si="3"/>
        <v>86</v>
      </c>
    </row>
    <row r="104" spans="1:8" x14ac:dyDescent="0.45">
      <c r="A104" s="20" t="s">
        <v>72</v>
      </c>
      <c r="B104" s="20" t="s">
        <v>64</v>
      </c>
      <c r="C104" s="20">
        <v>70</v>
      </c>
      <c r="D104" s="20">
        <v>14</v>
      </c>
      <c r="E104" s="20">
        <f t="shared" si="2"/>
        <v>49</v>
      </c>
      <c r="F104" s="20">
        <v>30</v>
      </c>
      <c r="G104" s="20">
        <f t="shared" si="3"/>
        <v>79</v>
      </c>
    </row>
    <row r="105" spans="1:8" x14ac:dyDescent="0.45">
      <c r="A105" s="20" t="s">
        <v>71</v>
      </c>
      <c r="B105" s="20" t="s">
        <v>64</v>
      </c>
      <c r="C105" s="20">
        <v>75</v>
      </c>
      <c r="D105" s="20">
        <v>15</v>
      </c>
      <c r="E105" s="20">
        <f t="shared" si="2"/>
        <v>52.5</v>
      </c>
      <c r="F105" s="20">
        <v>30</v>
      </c>
      <c r="G105" s="20">
        <f t="shared" si="3"/>
        <v>82.5</v>
      </c>
    </row>
    <row r="106" spans="1:8" x14ac:dyDescent="0.45">
      <c r="A106" s="20" t="s">
        <v>67</v>
      </c>
      <c r="B106" s="20" t="s">
        <v>64</v>
      </c>
      <c r="C106" s="20">
        <v>75</v>
      </c>
      <c r="D106" s="20">
        <v>15</v>
      </c>
      <c r="E106" s="20">
        <f t="shared" si="2"/>
        <v>52.5</v>
      </c>
      <c r="F106" s="20">
        <v>30</v>
      </c>
      <c r="G106" s="20">
        <f t="shared" si="3"/>
        <v>82.5</v>
      </c>
    </row>
    <row r="107" spans="1:8" x14ac:dyDescent="0.45">
      <c r="A107" s="20" t="s">
        <v>68</v>
      </c>
      <c r="B107" s="20" t="s">
        <v>64</v>
      </c>
      <c r="C107" s="20">
        <v>75</v>
      </c>
      <c r="D107" s="20">
        <v>15</v>
      </c>
      <c r="E107" s="20">
        <f t="shared" si="2"/>
        <v>52.5</v>
      </c>
      <c r="F107" s="20">
        <v>30</v>
      </c>
      <c r="G107" s="20">
        <f t="shared" si="3"/>
        <v>82.5</v>
      </c>
      <c r="H107" s="21">
        <f>AVERAGE(G99:G107)</f>
        <v>77.444444444444443</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571A-A078-4D53-A883-E49A106AA3B1}">
  <dimension ref="A1:X104"/>
  <sheetViews>
    <sheetView workbookViewId="0">
      <selection activeCell="Q36" sqref="Q36"/>
    </sheetView>
  </sheetViews>
  <sheetFormatPr defaultRowHeight="17.5" x14ac:dyDescent="0.45"/>
  <cols>
    <col min="1" max="1" width="4.15234375" bestFit="1" customWidth="1"/>
    <col min="2" max="2" width="10.53515625" bestFit="1" customWidth="1"/>
    <col min="3" max="24" width="5.15234375" bestFit="1" customWidth="1"/>
  </cols>
  <sheetData>
    <row r="1" spans="1:24" x14ac:dyDescent="0.45">
      <c r="A1" s="4" t="s">
        <v>105</v>
      </c>
      <c r="B1" s="4" t="s">
        <v>166</v>
      </c>
      <c r="C1" s="5">
        <v>1</v>
      </c>
      <c r="D1" s="4">
        <v>2</v>
      </c>
      <c r="E1" s="4">
        <v>3</v>
      </c>
      <c r="F1" s="4">
        <v>4</v>
      </c>
      <c r="G1" s="4">
        <v>5</v>
      </c>
      <c r="H1" s="4">
        <v>6</v>
      </c>
      <c r="I1" s="4">
        <v>7</v>
      </c>
      <c r="J1" s="4">
        <v>8</v>
      </c>
      <c r="K1" s="4">
        <v>9</v>
      </c>
      <c r="L1" s="4">
        <v>10</v>
      </c>
      <c r="M1" s="4">
        <v>11</v>
      </c>
      <c r="N1" s="4">
        <v>12</v>
      </c>
      <c r="O1" s="4">
        <v>13</v>
      </c>
      <c r="P1" s="4">
        <v>14</v>
      </c>
      <c r="Q1" s="4">
        <v>15</v>
      </c>
      <c r="R1" s="4">
        <v>16</v>
      </c>
      <c r="S1" s="4">
        <v>17</v>
      </c>
      <c r="T1" s="4">
        <v>18</v>
      </c>
      <c r="U1" s="4">
        <v>19</v>
      </c>
      <c r="V1" s="4">
        <v>20</v>
      </c>
      <c r="W1" s="4">
        <v>21</v>
      </c>
      <c r="X1" s="4">
        <v>22</v>
      </c>
    </row>
    <row r="2" spans="1:24" x14ac:dyDescent="0.45">
      <c r="A2" s="4" t="s">
        <v>122</v>
      </c>
      <c r="B2" s="3" t="s">
        <v>36</v>
      </c>
      <c r="C2" s="3">
        <v>62</v>
      </c>
      <c r="D2" s="3">
        <v>62</v>
      </c>
      <c r="E2" s="3">
        <v>57</v>
      </c>
      <c r="F2" s="3">
        <v>57</v>
      </c>
      <c r="G2" s="3">
        <v>57</v>
      </c>
      <c r="H2" s="3">
        <v>57</v>
      </c>
      <c r="I2" s="3">
        <v>83</v>
      </c>
      <c r="J2" s="3">
        <v>83</v>
      </c>
      <c r="K2" s="3">
        <v>83</v>
      </c>
      <c r="L2" s="3">
        <v>83</v>
      </c>
      <c r="M2" s="4">
        <v>66</v>
      </c>
      <c r="N2" s="4">
        <v>66</v>
      </c>
      <c r="O2" s="4">
        <v>66</v>
      </c>
      <c r="P2" s="4">
        <v>66</v>
      </c>
      <c r="Q2" s="4">
        <v>78</v>
      </c>
      <c r="R2" s="4">
        <v>78</v>
      </c>
      <c r="S2" s="4">
        <v>78</v>
      </c>
      <c r="T2" s="4">
        <v>78</v>
      </c>
      <c r="U2" s="4">
        <v>75</v>
      </c>
      <c r="V2" s="4">
        <v>75</v>
      </c>
      <c r="W2" s="4">
        <v>75</v>
      </c>
      <c r="X2" s="4">
        <v>75</v>
      </c>
    </row>
    <row r="3" spans="1:24" x14ac:dyDescent="0.45">
      <c r="A3" s="4" t="s">
        <v>122</v>
      </c>
      <c r="B3" s="2" t="s">
        <v>31</v>
      </c>
      <c r="C3" s="2">
        <v>73</v>
      </c>
      <c r="D3" s="2">
        <v>73</v>
      </c>
      <c r="E3" s="2">
        <v>68</v>
      </c>
      <c r="F3" s="2">
        <v>68</v>
      </c>
      <c r="G3" s="2">
        <v>68</v>
      </c>
      <c r="H3" s="2">
        <v>68</v>
      </c>
      <c r="I3" s="2">
        <v>90</v>
      </c>
      <c r="J3" s="2">
        <v>90</v>
      </c>
      <c r="K3" s="2">
        <v>90</v>
      </c>
      <c r="L3" s="2">
        <v>90</v>
      </c>
      <c r="M3" s="4">
        <v>74</v>
      </c>
      <c r="N3" s="4">
        <v>74</v>
      </c>
      <c r="O3" s="4">
        <v>74</v>
      </c>
      <c r="P3" s="4">
        <v>74</v>
      </c>
      <c r="Q3" s="4">
        <v>86</v>
      </c>
      <c r="R3" s="4">
        <v>86</v>
      </c>
      <c r="S3" s="4">
        <v>86</v>
      </c>
      <c r="T3" s="4">
        <v>86</v>
      </c>
      <c r="U3" s="4">
        <v>80</v>
      </c>
      <c r="V3" s="4">
        <v>80</v>
      </c>
      <c r="W3" s="4">
        <v>80</v>
      </c>
      <c r="X3" s="4">
        <v>80</v>
      </c>
    </row>
    <row r="4" spans="1:24" x14ac:dyDescent="0.45">
      <c r="A4" s="4" t="s">
        <v>122</v>
      </c>
      <c r="B4" s="3" t="s">
        <v>26</v>
      </c>
      <c r="C4" s="3">
        <v>63</v>
      </c>
      <c r="D4" s="3">
        <v>63</v>
      </c>
      <c r="E4" s="3">
        <v>67</v>
      </c>
      <c r="F4" s="3">
        <v>67</v>
      </c>
      <c r="G4" s="3">
        <v>67</v>
      </c>
      <c r="H4" s="3">
        <v>67</v>
      </c>
      <c r="I4" s="3" t="s">
        <v>123</v>
      </c>
      <c r="J4" s="3" t="s">
        <v>123</v>
      </c>
      <c r="K4" s="3" t="s">
        <v>123</v>
      </c>
      <c r="L4" s="3" t="s">
        <v>123</v>
      </c>
      <c r="M4" s="4" t="s">
        <v>123</v>
      </c>
      <c r="N4" s="4" t="s">
        <v>123</v>
      </c>
      <c r="O4" s="4" t="s">
        <v>123</v>
      </c>
      <c r="P4" s="4" t="s">
        <v>123</v>
      </c>
      <c r="Q4" s="4">
        <v>77</v>
      </c>
      <c r="R4" s="4">
        <v>77</v>
      </c>
      <c r="S4" s="4">
        <v>77</v>
      </c>
      <c r="T4" s="4">
        <v>77</v>
      </c>
      <c r="U4" s="4">
        <v>73</v>
      </c>
      <c r="V4" s="4">
        <v>73</v>
      </c>
      <c r="W4" s="4">
        <v>73</v>
      </c>
      <c r="X4" s="4">
        <v>73</v>
      </c>
    </row>
    <row r="5" spans="1:24" x14ac:dyDescent="0.45">
      <c r="A5" s="4" t="s">
        <v>122</v>
      </c>
      <c r="B5" s="2" t="s">
        <v>30</v>
      </c>
      <c r="C5" s="2">
        <v>80</v>
      </c>
      <c r="D5" s="2">
        <v>80</v>
      </c>
      <c r="E5" s="2">
        <v>81</v>
      </c>
      <c r="F5" s="2">
        <v>81</v>
      </c>
      <c r="G5" s="2">
        <v>81</v>
      </c>
      <c r="H5" s="2">
        <v>81</v>
      </c>
      <c r="I5" s="2">
        <v>98</v>
      </c>
      <c r="J5" s="2">
        <v>98</v>
      </c>
      <c r="K5" s="2">
        <v>98</v>
      </c>
      <c r="L5" s="2">
        <v>98</v>
      </c>
      <c r="M5" s="4">
        <v>90</v>
      </c>
      <c r="N5" s="4">
        <v>90</v>
      </c>
      <c r="O5" s="4">
        <v>90</v>
      </c>
      <c r="P5" s="4">
        <v>90</v>
      </c>
      <c r="Q5" s="4">
        <v>92</v>
      </c>
      <c r="R5" s="4">
        <v>92</v>
      </c>
      <c r="S5" s="4">
        <v>92</v>
      </c>
      <c r="T5" s="4">
        <v>92</v>
      </c>
      <c r="U5" s="4">
        <v>92</v>
      </c>
      <c r="V5" s="4">
        <v>92</v>
      </c>
      <c r="W5" s="4">
        <v>92</v>
      </c>
      <c r="X5" s="4">
        <v>92</v>
      </c>
    </row>
    <row r="6" spans="1:24" x14ac:dyDescent="0.45">
      <c r="A6" s="4" t="s">
        <v>122</v>
      </c>
      <c r="B6" s="3" t="s">
        <v>33</v>
      </c>
      <c r="C6" s="3">
        <v>82</v>
      </c>
      <c r="D6" s="3">
        <v>82</v>
      </c>
      <c r="E6" s="3">
        <v>81</v>
      </c>
      <c r="F6" s="3">
        <v>81</v>
      </c>
      <c r="G6" s="3">
        <v>81</v>
      </c>
      <c r="H6" s="3">
        <v>81</v>
      </c>
      <c r="I6" s="3">
        <v>82</v>
      </c>
      <c r="J6" s="3">
        <v>82</v>
      </c>
      <c r="K6" s="3">
        <v>82</v>
      </c>
      <c r="L6" s="3">
        <v>82</v>
      </c>
      <c r="M6" s="4">
        <v>86</v>
      </c>
      <c r="N6" s="4">
        <v>86</v>
      </c>
      <c r="O6" s="4">
        <v>86</v>
      </c>
      <c r="P6" s="4">
        <v>86</v>
      </c>
      <c r="Q6" s="4">
        <v>88</v>
      </c>
      <c r="R6" s="4">
        <v>88</v>
      </c>
      <c r="S6" s="4">
        <v>88</v>
      </c>
      <c r="T6" s="4">
        <v>88</v>
      </c>
      <c r="U6" s="4">
        <v>90</v>
      </c>
      <c r="V6" s="4">
        <v>90</v>
      </c>
      <c r="W6" s="4">
        <v>90</v>
      </c>
      <c r="X6" s="4">
        <v>90</v>
      </c>
    </row>
    <row r="7" spans="1:24" x14ac:dyDescent="0.45">
      <c r="A7" s="4" t="s">
        <v>122</v>
      </c>
      <c r="B7" s="2" t="s">
        <v>28</v>
      </c>
      <c r="C7" s="2">
        <v>67</v>
      </c>
      <c r="D7" s="2">
        <v>67</v>
      </c>
      <c r="E7" s="2">
        <v>77</v>
      </c>
      <c r="F7" s="2">
        <v>77</v>
      </c>
      <c r="G7" s="2">
        <v>77</v>
      </c>
      <c r="H7" s="2">
        <v>77</v>
      </c>
      <c r="I7" s="2">
        <v>96</v>
      </c>
      <c r="J7" s="2">
        <v>96</v>
      </c>
      <c r="K7" s="2">
        <v>96</v>
      </c>
      <c r="L7" s="2">
        <v>96</v>
      </c>
      <c r="M7" s="4">
        <v>94</v>
      </c>
      <c r="N7" s="4">
        <v>94</v>
      </c>
      <c r="O7" s="4">
        <v>94</v>
      </c>
      <c r="P7" s="4">
        <v>94</v>
      </c>
      <c r="Q7" s="4">
        <v>95</v>
      </c>
      <c r="R7" s="4">
        <v>95</v>
      </c>
      <c r="S7" s="4">
        <v>95</v>
      </c>
      <c r="T7" s="4">
        <v>95</v>
      </c>
      <c r="U7" s="4">
        <v>96</v>
      </c>
      <c r="V7" s="4">
        <v>96</v>
      </c>
      <c r="W7" s="4">
        <v>96</v>
      </c>
      <c r="X7" s="4">
        <v>96</v>
      </c>
    </row>
    <row r="8" spans="1:24" x14ac:dyDescent="0.45">
      <c r="A8" s="4" t="s">
        <v>122</v>
      </c>
      <c r="B8" s="3" t="s">
        <v>120</v>
      </c>
      <c r="C8" s="3">
        <v>72</v>
      </c>
      <c r="D8" s="3">
        <v>72</v>
      </c>
      <c r="E8" s="3">
        <v>73</v>
      </c>
      <c r="F8" s="3">
        <v>73</v>
      </c>
      <c r="G8" s="3">
        <v>73</v>
      </c>
      <c r="H8" s="3">
        <v>73</v>
      </c>
      <c r="I8" s="3">
        <v>91</v>
      </c>
      <c r="J8" s="3">
        <v>91</v>
      </c>
      <c r="K8" s="3">
        <v>91</v>
      </c>
      <c r="L8" s="3">
        <v>91</v>
      </c>
      <c r="M8" s="4">
        <v>76</v>
      </c>
      <c r="N8" s="4">
        <v>76</v>
      </c>
      <c r="O8" s="4">
        <v>76</v>
      </c>
      <c r="P8" s="4">
        <v>76</v>
      </c>
      <c r="Q8" s="4">
        <v>74</v>
      </c>
      <c r="R8" s="4">
        <v>74</v>
      </c>
      <c r="S8" s="4">
        <v>74</v>
      </c>
      <c r="T8" s="4">
        <v>74</v>
      </c>
      <c r="U8" s="4">
        <v>76</v>
      </c>
      <c r="V8" s="4">
        <v>76</v>
      </c>
      <c r="W8" s="4">
        <v>76</v>
      </c>
      <c r="X8" s="4">
        <v>76</v>
      </c>
    </row>
    <row r="9" spans="1:24" x14ac:dyDescent="0.45">
      <c r="A9" s="4" t="s">
        <v>122</v>
      </c>
      <c r="B9" s="2" t="s">
        <v>40</v>
      </c>
      <c r="C9" s="2">
        <v>77</v>
      </c>
      <c r="D9" s="2">
        <v>77</v>
      </c>
      <c r="E9" s="2">
        <v>85</v>
      </c>
      <c r="F9" s="2">
        <v>85</v>
      </c>
      <c r="G9" s="2">
        <v>85</v>
      </c>
      <c r="H9" s="2">
        <v>85</v>
      </c>
      <c r="I9" s="2">
        <v>94</v>
      </c>
      <c r="J9" s="2">
        <v>94</v>
      </c>
      <c r="K9" s="2">
        <v>94</v>
      </c>
      <c r="L9" s="2">
        <v>94</v>
      </c>
      <c r="M9" s="4">
        <v>84</v>
      </c>
      <c r="N9" s="4">
        <v>84</v>
      </c>
      <c r="O9" s="4">
        <v>84</v>
      </c>
      <c r="P9" s="4">
        <v>84</v>
      </c>
      <c r="Q9" s="4">
        <v>89</v>
      </c>
      <c r="R9" s="4">
        <v>89</v>
      </c>
      <c r="S9" s="4">
        <v>89</v>
      </c>
      <c r="T9" s="4">
        <v>89</v>
      </c>
      <c r="U9" s="4">
        <v>95</v>
      </c>
      <c r="V9" s="4">
        <v>95</v>
      </c>
      <c r="W9" s="4">
        <v>95</v>
      </c>
      <c r="X9" s="4">
        <v>95</v>
      </c>
    </row>
    <row r="10" spans="1:24" x14ac:dyDescent="0.45">
      <c r="A10" s="4" t="s">
        <v>122</v>
      </c>
      <c r="B10" s="3" t="s">
        <v>37</v>
      </c>
      <c r="C10" s="3">
        <v>93</v>
      </c>
      <c r="D10" s="3">
        <v>93</v>
      </c>
      <c r="E10" s="3">
        <v>97</v>
      </c>
      <c r="F10" s="3">
        <v>97</v>
      </c>
      <c r="G10" s="3">
        <v>97</v>
      </c>
      <c r="H10" s="3">
        <v>97</v>
      </c>
      <c r="I10" s="3">
        <v>95</v>
      </c>
      <c r="J10" s="3">
        <v>95</v>
      </c>
      <c r="K10" s="3">
        <v>95</v>
      </c>
      <c r="L10" s="3">
        <v>95</v>
      </c>
      <c r="M10" s="4">
        <v>98</v>
      </c>
      <c r="N10" s="4">
        <v>98</v>
      </c>
      <c r="O10" s="4">
        <v>98</v>
      </c>
      <c r="P10" s="4">
        <v>98</v>
      </c>
      <c r="Q10" s="4">
        <v>98</v>
      </c>
      <c r="R10" s="4">
        <v>98</v>
      </c>
      <c r="S10" s="4">
        <v>98</v>
      </c>
      <c r="T10" s="4">
        <v>98</v>
      </c>
      <c r="U10" s="4">
        <v>97</v>
      </c>
      <c r="V10" s="4">
        <v>97</v>
      </c>
      <c r="W10" s="4">
        <v>97</v>
      </c>
      <c r="X10" s="4">
        <v>97</v>
      </c>
    </row>
    <row r="11" spans="1:24" x14ac:dyDescent="0.45">
      <c r="A11" s="4" t="s">
        <v>122</v>
      </c>
      <c r="B11" s="2" t="s">
        <v>39</v>
      </c>
      <c r="C11" s="2">
        <v>72</v>
      </c>
      <c r="D11" s="2">
        <v>72</v>
      </c>
      <c r="E11" s="2">
        <v>78</v>
      </c>
      <c r="F11" s="2">
        <v>78</v>
      </c>
      <c r="G11" s="2">
        <v>78</v>
      </c>
      <c r="H11" s="2">
        <v>78</v>
      </c>
      <c r="I11" s="2">
        <v>95</v>
      </c>
      <c r="J11" s="2">
        <v>95</v>
      </c>
      <c r="K11" s="2">
        <v>95</v>
      </c>
      <c r="L11" s="2">
        <v>95</v>
      </c>
      <c r="M11" s="4">
        <v>88</v>
      </c>
      <c r="N11" s="4">
        <v>88</v>
      </c>
      <c r="O11" s="4">
        <v>88</v>
      </c>
      <c r="P11" s="4">
        <v>88</v>
      </c>
      <c r="Q11" s="4">
        <v>90</v>
      </c>
      <c r="R11" s="4">
        <v>90</v>
      </c>
      <c r="S11" s="4">
        <v>90</v>
      </c>
      <c r="T11" s="4">
        <v>90</v>
      </c>
      <c r="U11" s="4">
        <v>83</v>
      </c>
      <c r="V11" s="4">
        <v>83</v>
      </c>
      <c r="W11" s="4">
        <v>83</v>
      </c>
      <c r="X11" s="4">
        <v>83</v>
      </c>
    </row>
    <row r="12" spans="1:24" x14ac:dyDescent="0.45">
      <c r="A12" s="4" t="s">
        <v>122</v>
      </c>
      <c r="B12" s="3" t="s">
        <v>35</v>
      </c>
      <c r="C12" s="3">
        <v>82</v>
      </c>
      <c r="D12" s="3">
        <v>82</v>
      </c>
      <c r="E12" s="3">
        <v>76</v>
      </c>
      <c r="F12" s="3">
        <v>76</v>
      </c>
      <c r="G12" s="3">
        <v>76</v>
      </c>
      <c r="H12" s="3">
        <v>76</v>
      </c>
      <c r="I12" s="3">
        <v>89</v>
      </c>
      <c r="J12" s="3">
        <v>89</v>
      </c>
      <c r="K12" s="3">
        <v>89</v>
      </c>
      <c r="L12" s="3">
        <v>89</v>
      </c>
      <c r="M12" s="4">
        <v>83</v>
      </c>
      <c r="N12" s="4">
        <v>83</v>
      </c>
      <c r="O12" s="4">
        <v>83</v>
      </c>
      <c r="P12" s="4">
        <v>83</v>
      </c>
      <c r="Q12" s="4">
        <v>89</v>
      </c>
      <c r="R12" s="4">
        <v>89</v>
      </c>
      <c r="S12" s="4">
        <v>89</v>
      </c>
      <c r="T12" s="4">
        <v>89</v>
      </c>
      <c r="U12" s="4">
        <v>89</v>
      </c>
      <c r="V12" s="4">
        <v>89</v>
      </c>
      <c r="W12" s="4">
        <v>89</v>
      </c>
      <c r="X12" s="4">
        <v>89</v>
      </c>
    </row>
    <row r="13" spans="1:24" x14ac:dyDescent="0.45">
      <c r="A13" s="4" t="s">
        <v>122</v>
      </c>
      <c r="B13" s="2" t="s">
        <v>34</v>
      </c>
      <c r="C13" s="2">
        <v>88</v>
      </c>
      <c r="D13" s="2">
        <v>88</v>
      </c>
      <c r="E13" s="2">
        <v>90</v>
      </c>
      <c r="F13" s="2">
        <v>90</v>
      </c>
      <c r="G13" s="2">
        <v>90</v>
      </c>
      <c r="H13" s="2">
        <v>90</v>
      </c>
      <c r="I13" s="2">
        <v>87</v>
      </c>
      <c r="J13" s="2">
        <v>87</v>
      </c>
      <c r="K13" s="2">
        <v>87</v>
      </c>
      <c r="L13" s="2">
        <v>87</v>
      </c>
      <c r="M13" s="4">
        <v>87</v>
      </c>
      <c r="N13" s="4">
        <v>87</v>
      </c>
      <c r="O13" s="4">
        <v>87</v>
      </c>
      <c r="P13" s="4">
        <v>87</v>
      </c>
      <c r="Q13" s="4">
        <v>91</v>
      </c>
      <c r="R13" s="4">
        <v>91</v>
      </c>
      <c r="S13" s="4">
        <v>91</v>
      </c>
      <c r="T13" s="4">
        <v>91</v>
      </c>
      <c r="U13" s="4">
        <v>91</v>
      </c>
      <c r="V13" s="4">
        <v>91</v>
      </c>
      <c r="W13" s="4">
        <v>91</v>
      </c>
      <c r="X13" s="4">
        <v>91</v>
      </c>
    </row>
    <row r="14" spans="1:24" x14ac:dyDescent="0.45">
      <c r="A14" s="4" t="s">
        <v>122</v>
      </c>
      <c r="B14" s="3" t="s">
        <v>38</v>
      </c>
      <c r="C14" s="3">
        <v>92</v>
      </c>
      <c r="D14" s="3">
        <v>92</v>
      </c>
      <c r="E14" s="3">
        <v>81</v>
      </c>
      <c r="F14" s="3">
        <v>81</v>
      </c>
      <c r="G14" s="3">
        <v>81</v>
      </c>
      <c r="H14" s="3">
        <v>81</v>
      </c>
      <c r="I14" s="3">
        <v>88</v>
      </c>
      <c r="J14" s="3">
        <v>88</v>
      </c>
      <c r="K14" s="3">
        <v>88</v>
      </c>
      <c r="L14" s="3">
        <v>88</v>
      </c>
      <c r="M14" s="4">
        <v>90</v>
      </c>
      <c r="N14" s="4">
        <v>90</v>
      </c>
      <c r="O14" s="4">
        <v>90</v>
      </c>
      <c r="P14" s="4">
        <v>90</v>
      </c>
      <c r="Q14" s="4">
        <v>82</v>
      </c>
      <c r="R14" s="4">
        <v>82</v>
      </c>
      <c r="S14" s="4">
        <v>82</v>
      </c>
      <c r="T14" s="4">
        <v>82</v>
      </c>
      <c r="U14" s="4">
        <v>81</v>
      </c>
      <c r="V14" s="4">
        <v>81</v>
      </c>
      <c r="W14" s="4">
        <v>81</v>
      </c>
      <c r="X14" s="4">
        <v>81</v>
      </c>
    </row>
    <row r="15" spans="1:24" x14ac:dyDescent="0.45">
      <c r="A15" s="4" t="s">
        <v>122</v>
      </c>
      <c r="B15" s="2" t="s">
        <v>29</v>
      </c>
      <c r="C15" s="2">
        <v>52</v>
      </c>
      <c r="D15" s="2">
        <v>52</v>
      </c>
      <c r="E15" s="2">
        <v>55</v>
      </c>
      <c r="F15" s="2">
        <v>55</v>
      </c>
      <c r="G15" s="2">
        <v>55</v>
      </c>
      <c r="H15" s="2">
        <v>55</v>
      </c>
      <c r="I15" s="2">
        <v>76</v>
      </c>
      <c r="J15" s="2">
        <v>76</v>
      </c>
      <c r="K15" s="2">
        <v>76</v>
      </c>
      <c r="L15" s="2">
        <v>76</v>
      </c>
      <c r="M15" s="4">
        <v>63</v>
      </c>
      <c r="N15" s="4">
        <v>63</v>
      </c>
      <c r="O15" s="4">
        <v>63</v>
      </c>
      <c r="P15" s="4">
        <v>63</v>
      </c>
      <c r="Q15" s="4">
        <v>60</v>
      </c>
      <c r="R15" s="4">
        <v>60</v>
      </c>
      <c r="S15" s="4">
        <v>60</v>
      </c>
      <c r="T15" s="4">
        <v>60</v>
      </c>
      <c r="U15" s="4" t="s">
        <v>123</v>
      </c>
      <c r="V15" s="4" t="s">
        <v>123</v>
      </c>
      <c r="W15" s="4" t="s">
        <v>123</v>
      </c>
      <c r="X15" s="4" t="s">
        <v>123</v>
      </c>
    </row>
    <row r="16" spans="1:24" x14ac:dyDescent="0.45">
      <c r="A16" s="4" t="s">
        <v>122</v>
      </c>
      <c r="B16" s="3" t="s">
        <v>17</v>
      </c>
      <c r="C16" s="3">
        <v>100</v>
      </c>
      <c r="D16" s="3">
        <v>100</v>
      </c>
      <c r="E16" s="3">
        <v>55</v>
      </c>
      <c r="F16" s="3">
        <v>55</v>
      </c>
      <c r="G16" s="3">
        <v>55</v>
      </c>
      <c r="H16" s="3">
        <v>55</v>
      </c>
      <c r="I16" s="3">
        <v>100</v>
      </c>
      <c r="J16" s="3">
        <v>100</v>
      </c>
      <c r="K16" s="3">
        <v>100</v>
      </c>
      <c r="L16" s="3">
        <v>100</v>
      </c>
      <c r="M16" s="4">
        <v>98</v>
      </c>
      <c r="N16" s="4">
        <v>98</v>
      </c>
      <c r="O16" s="4">
        <v>98</v>
      </c>
      <c r="P16" s="4">
        <v>98</v>
      </c>
      <c r="Q16" s="4">
        <v>100</v>
      </c>
      <c r="R16" s="4">
        <v>100</v>
      </c>
      <c r="S16" s="4">
        <v>100</v>
      </c>
      <c r="T16" s="4">
        <v>100</v>
      </c>
      <c r="U16" s="4">
        <v>99</v>
      </c>
      <c r="V16" s="4">
        <v>99</v>
      </c>
      <c r="W16" s="4">
        <v>99</v>
      </c>
      <c r="X16" s="4">
        <v>99</v>
      </c>
    </row>
    <row r="17" spans="1:24" x14ac:dyDescent="0.45">
      <c r="A17" s="4" t="s">
        <v>122</v>
      </c>
      <c r="B17" s="2" t="s">
        <v>119</v>
      </c>
      <c r="C17" s="2">
        <v>78.33</v>
      </c>
      <c r="D17" s="2">
        <v>78.33</v>
      </c>
      <c r="E17" s="2">
        <v>75</v>
      </c>
      <c r="F17" s="2">
        <v>75</v>
      </c>
      <c r="G17" s="2">
        <v>75</v>
      </c>
      <c r="H17" s="2">
        <v>75</v>
      </c>
      <c r="I17" s="2">
        <v>90</v>
      </c>
      <c r="J17" s="2">
        <v>90</v>
      </c>
      <c r="K17" s="2">
        <v>90</v>
      </c>
      <c r="L17" s="2">
        <v>90</v>
      </c>
      <c r="M17" s="4">
        <v>90</v>
      </c>
      <c r="N17" s="4">
        <v>90</v>
      </c>
      <c r="O17" s="4">
        <v>90</v>
      </c>
      <c r="P17" s="4">
        <v>90</v>
      </c>
      <c r="Q17" s="4">
        <v>86</v>
      </c>
      <c r="R17" s="4">
        <v>86</v>
      </c>
      <c r="S17" s="4">
        <v>86</v>
      </c>
      <c r="T17" s="4">
        <v>86</v>
      </c>
      <c r="U17" s="4">
        <v>90</v>
      </c>
      <c r="V17" s="4">
        <v>90</v>
      </c>
      <c r="W17" s="4">
        <v>90</v>
      </c>
      <c r="X17" s="4">
        <v>90</v>
      </c>
    </row>
    <row r="18" spans="1:24" x14ac:dyDescent="0.45">
      <c r="A18" s="4" t="s">
        <v>122</v>
      </c>
      <c r="B18" s="3" t="s">
        <v>16</v>
      </c>
      <c r="C18" s="3"/>
      <c r="D18" s="3"/>
      <c r="E18" s="3">
        <v>84</v>
      </c>
      <c r="F18" s="3">
        <v>84</v>
      </c>
      <c r="G18" s="3">
        <v>84</v>
      </c>
      <c r="H18" s="3">
        <v>84</v>
      </c>
      <c r="I18" s="3">
        <v>99</v>
      </c>
      <c r="J18" s="3">
        <v>99</v>
      </c>
      <c r="K18" s="3">
        <v>99</v>
      </c>
      <c r="L18" s="3">
        <v>99</v>
      </c>
      <c r="M18" s="4">
        <v>92</v>
      </c>
      <c r="N18" s="4">
        <v>92</v>
      </c>
      <c r="O18" s="4">
        <v>92</v>
      </c>
      <c r="P18" s="4">
        <v>92</v>
      </c>
      <c r="Q18" s="4">
        <v>93</v>
      </c>
      <c r="R18" s="4">
        <v>93</v>
      </c>
      <c r="S18" s="4">
        <v>93</v>
      </c>
      <c r="T18" s="4">
        <v>93</v>
      </c>
      <c r="U18" s="4" t="s">
        <v>123</v>
      </c>
      <c r="V18" s="4" t="s">
        <v>123</v>
      </c>
      <c r="W18" s="4" t="s">
        <v>123</v>
      </c>
      <c r="X18" s="4" t="s">
        <v>123</v>
      </c>
    </row>
    <row r="19" spans="1:24" x14ac:dyDescent="0.45">
      <c r="A19" s="4" t="s">
        <v>122</v>
      </c>
      <c r="B19" s="3" t="s">
        <v>10</v>
      </c>
      <c r="C19" s="3">
        <v>63.33</v>
      </c>
      <c r="D19" s="3">
        <v>63.33</v>
      </c>
      <c r="E19" s="3">
        <v>76</v>
      </c>
      <c r="F19" s="3">
        <v>76</v>
      </c>
      <c r="G19" s="3">
        <v>76</v>
      </c>
      <c r="H19" s="3">
        <v>76</v>
      </c>
      <c r="I19" s="3">
        <v>83</v>
      </c>
      <c r="J19" s="3">
        <v>83</v>
      </c>
      <c r="K19" s="3">
        <v>83</v>
      </c>
      <c r="L19" s="3">
        <v>83</v>
      </c>
      <c r="M19" s="4">
        <v>86</v>
      </c>
      <c r="N19" s="4">
        <v>86</v>
      </c>
      <c r="O19" s="4">
        <v>86</v>
      </c>
      <c r="P19" s="4">
        <v>86</v>
      </c>
      <c r="Q19" s="4">
        <v>86</v>
      </c>
      <c r="R19" s="4">
        <v>86</v>
      </c>
      <c r="S19" s="4">
        <v>86</v>
      </c>
      <c r="T19" s="4">
        <v>86</v>
      </c>
      <c r="U19" s="4">
        <v>87</v>
      </c>
      <c r="V19" s="4">
        <v>87</v>
      </c>
      <c r="W19" s="4">
        <v>87</v>
      </c>
      <c r="X19" s="4">
        <v>87</v>
      </c>
    </row>
    <row r="20" spans="1:24" x14ac:dyDescent="0.45">
      <c r="A20" s="4" t="s">
        <v>122</v>
      </c>
      <c r="B20" s="2" t="s">
        <v>8</v>
      </c>
      <c r="C20" s="2">
        <v>66.67</v>
      </c>
      <c r="D20" s="2">
        <v>66.67</v>
      </c>
      <c r="E20" s="2">
        <v>72</v>
      </c>
      <c r="F20" s="2">
        <v>72</v>
      </c>
      <c r="G20" s="2">
        <v>72</v>
      </c>
      <c r="H20" s="2">
        <v>72</v>
      </c>
      <c r="I20" s="2">
        <v>82</v>
      </c>
      <c r="J20" s="2">
        <v>82</v>
      </c>
      <c r="K20" s="2">
        <v>82</v>
      </c>
      <c r="L20" s="2">
        <v>82</v>
      </c>
      <c r="M20" s="4">
        <v>71</v>
      </c>
      <c r="N20" s="4">
        <v>71</v>
      </c>
      <c r="O20" s="4">
        <v>71</v>
      </c>
      <c r="P20" s="4">
        <v>71</v>
      </c>
      <c r="Q20" s="4">
        <v>78</v>
      </c>
      <c r="R20" s="4">
        <v>78</v>
      </c>
      <c r="S20" s="4">
        <v>78</v>
      </c>
      <c r="T20" s="4">
        <v>78</v>
      </c>
      <c r="U20" s="4">
        <v>82</v>
      </c>
      <c r="V20" s="4">
        <v>82</v>
      </c>
      <c r="W20" s="4">
        <v>82</v>
      </c>
      <c r="X20" s="4">
        <v>82</v>
      </c>
    </row>
    <row r="21" spans="1:24" x14ac:dyDescent="0.45">
      <c r="A21" s="4" t="s">
        <v>122</v>
      </c>
      <c r="B21" s="3" t="s">
        <v>18</v>
      </c>
      <c r="C21" s="3">
        <v>90</v>
      </c>
      <c r="D21" s="3">
        <v>90</v>
      </c>
      <c r="E21" s="3">
        <v>84</v>
      </c>
      <c r="F21" s="3">
        <v>84</v>
      </c>
      <c r="G21" s="3">
        <v>84</v>
      </c>
      <c r="H21" s="3">
        <v>84</v>
      </c>
      <c r="I21" s="3">
        <v>91</v>
      </c>
      <c r="J21" s="3">
        <v>91</v>
      </c>
      <c r="K21" s="3">
        <v>91</v>
      </c>
      <c r="L21" s="3">
        <v>91</v>
      </c>
      <c r="M21" s="4">
        <v>90</v>
      </c>
      <c r="N21" s="4">
        <v>90</v>
      </c>
      <c r="O21" s="4">
        <v>90</v>
      </c>
      <c r="P21" s="4">
        <v>90</v>
      </c>
      <c r="Q21" s="4">
        <v>87</v>
      </c>
      <c r="R21" s="4">
        <v>87</v>
      </c>
      <c r="S21" s="4">
        <v>87</v>
      </c>
      <c r="T21" s="4">
        <v>87</v>
      </c>
      <c r="U21" s="4">
        <v>92</v>
      </c>
      <c r="V21" s="4">
        <v>92</v>
      </c>
      <c r="W21" s="4">
        <v>92</v>
      </c>
      <c r="X21" s="4">
        <v>92</v>
      </c>
    </row>
    <row r="22" spans="1:24" x14ac:dyDescent="0.45">
      <c r="A22" s="4" t="s">
        <v>122</v>
      </c>
      <c r="B22" s="2" t="s">
        <v>11</v>
      </c>
      <c r="C22" s="2">
        <v>85</v>
      </c>
      <c r="D22" s="2">
        <v>85</v>
      </c>
      <c r="E22" s="2">
        <v>76</v>
      </c>
      <c r="F22" s="2">
        <v>76</v>
      </c>
      <c r="G22" s="2">
        <v>76</v>
      </c>
      <c r="H22" s="2">
        <v>76</v>
      </c>
      <c r="I22" s="2">
        <v>90</v>
      </c>
      <c r="J22" s="2">
        <v>90</v>
      </c>
      <c r="K22" s="2">
        <v>90</v>
      </c>
      <c r="L22" s="2">
        <v>90</v>
      </c>
      <c r="M22" s="4">
        <v>52</v>
      </c>
      <c r="N22" s="4">
        <v>52</v>
      </c>
      <c r="O22" s="4">
        <v>52</v>
      </c>
      <c r="P22" s="4">
        <v>52</v>
      </c>
      <c r="Q22" s="4">
        <v>79</v>
      </c>
      <c r="R22" s="4">
        <v>79</v>
      </c>
      <c r="S22" s="4">
        <v>79</v>
      </c>
      <c r="T22" s="4">
        <v>79</v>
      </c>
      <c r="U22" s="4">
        <v>56</v>
      </c>
      <c r="V22" s="4">
        <v>56</v>
      </c>
      <c r="W22" s="4">
        <v>56</v>
      </c>
      <c r="X22" s="4">
        <v>56</v>
      </c>
    </row>
    <row r="23" spans="1:24" x14ac:dyDescent="0.45">
      <c r="A23" s="4" t="s">
        <v>122</v>
      </c>
      <c r="B23" s="3" t="s">
        <v>15</v>
      </c>
      <c r="C23" s="3">
        <v>93.33</v>
      </c>
      <c r="D23" s="3">
        <v>93.33</v>
      </c>
      <c r="E23" s="3">
        <v>95</v>
      </c>
      <c r="F23" s="3">
        <v>95</v>
      </c>
      <c r="G23" s="3">
        <v>95</v>
      </c>
      <c r="H23" s="3">
        <v>95</v>
      </c>
      <c r="I23" s="3">
        <v>99</v>
      </c>
      <c r="J23" s="3">
        <v>99</v>
      </c>
      <c r="K23" s="3">
        <v>99</v>
      </c>
      <c r="L23" s="3">
        <v>99</v>
      </c>
      <c r="M23" s="4">
        <v>99</v>
      </c>
      <c r="N23" s="4">
        <v>99</v>
      </c>
      <c r="O23" s="4">
        <v>99</v>
      </c>
      <c r="P23" s="4">
        <v>99</v>
      </c>
      <c r="Q23" s="4">
        <v>95</v>
      </c>
      <c r="R23" s="4">
        <v>95</v>
      </c>
      <c r="S23" s="4">
        <v>95</v>
      </c>
      <c r="T23" s="4">
        <v>95</v>
      </c>
      <c r="U23" s="4">
        <v>98</v>
      </c>
      <c r="V23" s="4">
        <v>98</v>
      </c>
      <c r="W23" s="4">
        <v>98</v>
      </c>
      <c r="X23" s="4">
        <v>98</v>
      </c>
    </row>
    <row r="24" spans="1:24" x14ac:dyDescent="0.45">
      <c r="A24" s="4" t="s">
        <v>122</v>
      </c>
      <c r="B24" s="2" t="s">
        <v>14</v>
      </c>
      <c r="C24" s="2">
        <v>80</v>
      </c>
      <c r="D24" s="2">
        <v>80</v>
      </c>
      <c r="E24" s="2">
        <v>93</v>
      </c>
      <c r="F24" s="2">
        <v>93</v>
      </c>
      <c r="G24" s="2">
        <v>93</v>
      </c>
      <c r="H24" s="2">
        <v>93</v>
      </c>
      <c r="I24" s="2">
        <v>94</v>
      </c>
      <c r="J24" s="2">
        <v>94</v>
      </c>
      <c r="K24" s="2">
        <v>94</v>
      </c>
      <c r="L24" s="2">
        <v>94</v>
      </c>
      <c r="M24" s="4">
        <v>93</v>
      </c>
      <c r="N24" s="4">
        <v>93</v>
      </c>
      <c r="O24" s="4">
        <v>93</v>
      </c>
      <c r="P24" s="4">
        <v>93</v>
      </c>
      <c r="Q24" s="4">
        <v>93</v>
      </c>
      <c r="R24" s="4">
        <v>93</v>
      </c>
      <c r="S24" s="4">
        <v>93</v>
      </c>
      <c r="T24" s="4">
        <v>93</v>
      </c>
      <c r="U24" s="4">
        <v>96</v>
      </c>
      <c r="V24" s="4">
        <v>96</v>
      </c>
      <c r="W24" s="4">
        <v>96</v>
      </c>
      <c r="X24" s="4">
        <v>96</v>
      </c>
    </row>
    <row r="25" spans="1:24" x14ac:dyDescent="0.45">
      <c r="A25" s="4" t="s">
        <v>122</v>
      </c>
      <c r="B25" s="3" t="s">
        <v>13</v>
      </c>
      <c r="C25" s="3">
        <v>100</v>
      </c>
      <c r="D25" s="3">
        <v>100</v>
      </c>
      <c r="E25" s="3">
        <v>97</v>
      </c>
      <c r="F25" s="3">
        <v>97</v>
      </c>
      <c r="G25" s="3">
        <v>97</v>
      </c>
      <c r="H25" s="3">
        <v>97</v>
      </c>
      <c r="I25" s="3">
        <v>92</v>
      </c>
      <c r="J25" s="3">
        <v>92</v>
      </c>
      <c r="K25" s="3">
        <v>92</v>
      </c>
      <c r="L25" s="3">
        <v>92</v>
      </c>
      <c r="M25" s="4">
        <v>97</v>
      </c>
      <c r="N25" s="4">
        <v>97</v>
      </c>
      <c r="O25" s="4">
        <v>97</v>
      </c>
      <c r="P25" s="4">
        <v>97</v>
      </c>
      <c r="Q25" s="4">
        <v>99</v>
      </c>
      <c r="R25" s="4">
        <v>99</v>
      </c>
      <c r="S25" s="4">
        <v>99</v>
      </c>
      <c r="T25" s="4">
        <v>99</v>
      </c>
      <c r="U25" s="4">
        <v>99</v>
      </c>
      <c r="V25" s="4">
        <v>99</v>
      </c>
      <c r="W25" s="4">
        <v>99</v>
      </c>
      <c r="X25" s="4">
        <v>99</v>
      </c>
    </row>
    <row r="26" spans="1:24" x14ac:dyDescent="0.45">
      <c r="A26" s="4" t="s">
        <v>122</v>
      </c>
      <c r="B26" s="2" t="s">
        <v>12</v>
      </c>
      <c r="C26" s="2" t="s">
        <v>124</v>
      </c>
      <c r="D26" s="2">
        <v>96</v>
      </c>
      <c r="E26" s="2">
        <v>99</v>
      </c>
      <c r="F26" s="4"/>
      <c r="G26" s="4"/>
      <c r="H26" s="4"/>
      <c r="I26" s="4"/>
      <c r="J26" s="4"/>
      <c r="K26" s="4"/>
      <c r="L26" s="4"/>
      <c r="M26" s="4"/>
      <c r="N26" s="4"/>
      <c r="O26" s="4"/>
      <c r="P26" s="4"/>
      <c r="Q26" s="2">
        <v>96</v>
      </c>
      <c r="R26" s="2">
        <v>96</v>
      </c>
      <c r="S26" s="2">
        <v>96</v>
      </c>
      <c r="T26" s="2">
        <v>96</v>
      </c>
      <c r="U26" s="2">
        <v>99</v>
      </c>
      <c r="V26" s="2">
        <v>99</v>
      </c>
      <c r="W26" s="2">
        <v>99</v>
      </c>
      <c r="X26" s="2">
        <v>99</v>
      </c>
    </row>
    <row r="27" spans="1:24" x14ac:dyDescent="0.45">
      <c r="A27" s="4" t="s">
        <v>122</v>
      </c>
      <c r="B27" s="2" t="s">
        <v>9</v>
      </c>
      <c r="C27" s="2" t="s">
        <v>124</v>
      </c>
      <c r="D27" s="2">
        <v>97</v>
      </c>
      <c r="E27" s="2">
        <v>77</v>
      </c>
      <c r="F27" s="4"/>
      <c r="G27" s="4"/>
      <c r="H27" s="4"/>
      <c r="I27" s="4"/>
      <c r="J27" s="4"/>
      <c r="K27" s="4"/>
      <c r="L27" s="4"/>
      <c r="M27" s="4"/>
      <c r="N27" s="4"/>
      <c r="O27" s="4"/>
      <c r="P27" s="4"/>
      <c r="Q27" s="2">
        <v>97</v>
      </c>
      <c r="R27" s="2">
        <v>97</v>
      </c>
      <c r="S27" s="2">
        <v>97</v>
      </c>
      <c r="T27" s="2">
        <v>97</v>
      </c>
      <c r="U27" s="2">
        <v>77</v>
      </c>
      <c r="V27" s="2">
        <v>77</v>
      </c>
      <c r="W27" s="2">
        <v>77</v>
      </c>
      <c r="X27" s="2">
        <v>77</v>
      </c>
    </row>
    <row r="28" spans="1:24" x14ac:dyDescent="0.45">
      <c r="A28" s="4" t="s">
        <v>122</v>
      </c>
      <c r="B28" s="4" t="s">
        <v>32</v>
      </c>
      <c r="C28" s="4"/>
      <c r="D28" s="4"/>
      <c r="E28" s="4"/>
      <c r="F28" s="4"/>
      <c r="G28" s="4"/>
      <c r="H28" s="4"/>
      <c r="I28" s="4"/>
      <c r="J28" s="4"/>
      <c r="K28" s="4"/>
      <c r="L28" s="4"/>
      <c r="M28" s="6">
        <v>64</v>
      </c>
      <c r="N28" s="6">
        <v>64</v>
      </c>
      <c r="O28" s="6">
        <v>64</v>
      </c>
      <c r="P28" s="6">
        <v>64</v>
      </c>
      <c r="Q28" s="6">
        <v>89</v>
      </c>
      <c r="R28" s="6">
        <v>89</v>
      </c>
      <c r="S28" s="6">
        <v>89</v>
      </c>
      <c r="T28" s="6">
        <v>89</v>
      </c>
      <c r="U28" s="6">
        <v>87</v>
      </c>
      <c r="V28" s="6">
        <v>87</v>
      </c>
      <c r="W28" s="6">
        <v>87</v>
      </c>
      <c r="X28" s="6">
        <v>87</v>
      </c>
    </row>
    <row r="29" spans="1:24" x14ac:dyDescent="0.45">
      <c r="A29" s="4" t="s">
        <v>122</v>
      </c>
      <c r="B29" s="2" t="s">
        <v>125</v>
      </c>
      <c r="C29" s="2">
        <v>91.67</v>
      </c>
      <c r="D29" s="2">
        <v>91.67</v>
      </c>
      <c r="E29" s="2">
        <v>96.67</v>
      </c>
      <c r="F29" s="2">
        <v>96.67</v>
      </c>
      <c r="G29" s="2">
        <v>73.33</v>
      </c>
      <c r="H29" s="2">
        <v>73.33</v>
      </c>
      <c r="I29" s="2">
        <v>100</v>
      </c>
      <c r="J29" s="2">
        <v>100</v>
      </c>
      <c r="K29" s="2">
        <v>93.33</v>
      </c>
      <c r="L29" s="2">
        <v>93.33</v>
      </c>
      <c r="M29" s="2">
        <v>88.33</v>
      </c>
      <c r="N29" s="2">
        <v>88.33</v>
      </c>
      <c r="O29" s="2">
        <v>95</v>
      </c>
      <c r="P29" s="2">
        <v>95</v>
      </c>
      <c r="Q29" s="2">
        <v>88.33</v>
      </c>
      <c r="R29" s="2">
        <v>88.33</v>
      </c>
      <c r="S29" s="2">
        <v>86.67</v>
      </c>
      <c r="T29" s="2">
        <v>86.67</v>
      </c>
      <c r="U29" s="2">
        <v>86.67</v>
      </c>
      <c r="V29" s="2">
        <v>86.67</v>
      </c>
      <c r="W29" s="2">
        <v>93.33</v>
      </c>
      <c r="X29" s="2">
        <v>93.33</v>
      </c>
    </row>
    <row r="30" spans="1:24" x14ac:dyDescent="0.45">
      <c r="A30" s="4" t="s">
        <v>122</v>
      </c>
      <c r="B30" s="2" t="s">
        <v>126</v>
      </c>
      <c r="C30" s="2">
        <v>30</v>
      </c>
      <c r="D30" s="2">
        <v>30</v>
      </c>
      <c r="E30" s="2">
        <v>76.67</v>
      </c>
      <c r="F30" s="2">
        <v>76.67</v>
      </c>
      <c r="G30" s="2">
        <v>26.67</v>
      </c>
      <c r="H30" s="2">
        <v>26.67</v>
      </c>
      <c r="I30" s="2">
        <v>56.67</v>
      </c>
      <c r="J30" s="2">
        <v>56.67</v>
      </c>
      <c r="K30" s="2">
        <v>63.33</v>
      </c>
      <c r="L30" s="2">
        <v>63.33</v>
      </c>
      <c r="M30" s="2">
        <v>50</v>
      </c>
      <c r="N30" s="2">
        <v>50</v>
      </c>
      <c r="O30" s="2">
        <v>58.33</v>
      </c>
      <c r="P30" s="2">
        <v>58.33</v>
      </c>
      <c r="Q30" s="2">
        <v>58.33</v>
      </c>
      <c r="R30" s="2">
        <v>58.33</v>
      </c>
      <c r="S30" s="2">
        <v>18.329999999999998</v>
      </c>
      <c r="T30" s="2">
        <v>18.329999999999998</v>
      </c>
      <c r="U30" s="2">
        <v>70</v>
      </c>
      <c r="V30" s="2">
        <v>70</v>
      </c>
      <c r="W30" s="2">
        <v>60</v>
      </c>
      <c r="X30" s="2">
        <v>60</v>
      </c>
    </row>
    <row r="31" spans="1:24" x14ac:dyDescent="0.45">
      <c r="A31" s="4" t="s">
        <v>122</v>
      </c>
      <c r="B31" s="2" t="s">
        <v>127</v>
      </c>
      <c r="C31" s="2">
        <v>73.33</v>
      </c>
      <c r="D31" s="2">
        <v>73.33</v>
      </c>
      <c r="E31" s="2">
        <v>100</v>
      </c>
      <c r="F31" s="2">
        <v>100</v>
      </c>
      <c r="G31" s="2">
        <v>80</v>
      </c>
      <c r="H31" s="2">
        <v>80</v>
      </c>
      <c r="I31" s="2">
        <v>96.67</v>
      </c>
      <c r="J31" s="2">
        <v>96.67</v>
      </c>
      <c r="K31" s="2">
        <v>90</v>
      </c>
      <c r="L31" s="2">
        <v>90</v>
      </c>
      <c r="M31" s="2">
        <v>98.33</v>
      </c>
      <c r="N31" s="2">
        <v>98.33</v>
      </c>
      <c r="O31" s="2">
        <v>93.33</v>
      </c>
      <c r="P31" s="2">
        <v>93.33</v>
      </c>
      <c r="Q31" s="2">
        <v>98.33</v>
      </c>
      <c r="R31" s="2">
        <v>98.33</v>
      </c>
      <c r="S31" s="2">
        <v>81.67</v>
      </c>
      <c r="T31" s="2">
        <v>81.67</v>
      </c>
      <c r="U31" s="2">
        <v>100</v>
      </c>
      <c r="V31" s="2">
        <v>100</v>
      </c>
      <c r="W31" s="2">
        <v>98.33</v>
      </c>
      <c r="X31" s="2">
        <v>98.33</v>
      </c>
    </row>
    <row r="32" spans="1:24" x14ac:dyDescent="0.45">
      <c r="A32" s="4" t="s">
        <v>122</v>
      </c>
      <c r="B32" s="2" t="s">
        <v>128</v>
      </c>
      <c r="C32" s="2">
        <v>53.33</v>
      </c>
      <c r="D32" s="2">
        <v>53.33</v>
      </c>
      <c r="E32" s="2">
        <v>96.67</v>
      </c>
      <c r="F32" s="2">
        <v>96.67</v>
      </c>
      <c r="G32" s="2">
        <v>66.67</v>
      </c>
      <c r="H32" s="2">
        <v>66.67</v>
      </c>
      <c r="I32" s="2">
        <v>83.33</v>
      </c>
      <c r="J32" s="2">
        <v>83.33</v>
      </c>
      <c r="K32" s="2">
        <v>70</v>
      </c>
      <c r="L32" s="2">
        <v>70</v>
      </c>
      <c r="M32" s="2">
        <v>83.33</v>
      </c>
      <c r="N32" s="2">
        <v>83.33</v>
      </c>
      <c r="O32" s="2">
        <v>80</v>
      </c>
      <c r="P32" s="2">
        <v>80</v>
      </c>
      <c r="Q32" s="2">
        <v>63.33</v>
      </c>
      <c r="R32" s="2">
        <v>63.33</v>
      </c>
      <c r="S32" s="2">
        <v>63.33</v>
      </c>
      <c r="T32" s="2">
        <v>63.33</v>
      </c>
      <c r="U32" s="2">
        <v>96.67</v>
      </c>
      <c r="V32" s="2">
        <v>96.67</v>
      </c>
      <c r="W32" s="2">
        <v>85</v>
      </c>
      <c r="X32" s="2">
        <v>85</v>
      </c>
    </row>
    <row r="33" spans="1:24" x14ac:dyDescent="0.45">
      <c r="A33" s="4" t="s">
        <v>122</v>
      </c>
      <c r="B33" s="2" t="s">
        <v>129</v>
      </c>
      <c r="C33" s="2">
        <v>30</v>
      </c>
      <c r="D33" s="2">
        <v>30</v>
      </c>
      <c r="E33" s="2">
        <v>56.67</v>
      </c>
      <c r="F33" s="2">
        <v>56.67</v>
      </c>
      <c r="G33" s="2">
        <v>40</v>
      </c>
      <c r="H33" s="2">
        <v>40</v>
      </c>
      <c r="I33" s="2">
        <v>88.33</v>
      </c>
      <c r="J33" s="2">
        <v>88.33</v>
      </c>
      <c r="K33" s="2">
        <v>41.67</v>
      </c>
      <c r="L33" s="2">
        <v>41.67</v>
      </c>
      <c r="M33" s="2">
        <v>36.67</v>
      </c>
      <c r="N33" s="2">
        <v>36.67</v>
      </c>
      <c r="O33" s="2">
        <v>28.33</v>
      </c>
      <c r="P33" s="2">
        <v>28.33</v>
      </c>
      <c r="Q33" s="2">
        <v>73.33</v>
      </c>
      <c r="R33" s="2">
        <v>73.33</v>
      </c>
      <c r="S33" s="2">
        <v>45</v>
      </c>
      <c r="T33" s="2">
        <v>45</v>
      </c>
      <c r="U33" s="2">
        <v>95</v>
      </c>
      <c r="V33" s="2">
        <v>95</v>
      </c>
      <c r="W33" s="2" t="s">
        <v>130</v>
      </c>
      <c r="X33" s="2" t="s">
        <v>130</v>
      </c>
    </row>
    <row r="34" spans="1:24" x14ac:dyDescent="0.45">
      <c r="A34" s="4" t="s">
        <v>122</v>
      </c>
      <c r="B34" s="2" t="s">
        <v>131</v>
      </c>
      <c r="C34" s="2">
        <v>48.33</v>
      </c>
      <c r="D34" s="2">
        <v>48.33</v>
      </c>
      <c r="E34" s="2">
        <v>96.67</v>
      </c>
      <c r="F34" s="2">
        <v>96.67</v>
      </c>
      <c r="G34" s="2">
        <v>53.33</v>
      </c>
      <c r="H34" s="2">
        <v>53.33</v>
      </c>
      <c r="I34" s="2">
        <v>91.67</v>
      </c>
      <c r="J34" s="2">
        <v>91.67</v>
      </c>
      <c r="K34" s="2">
        <v>91.67</v>
      </c>
      <c r="L34" s="2">
        <v>91.67</v>
      </c>
      <c r="M34" s="2">
        <v>83.33</v>
      </c>
      <c r="N34" s="2">
        <v>83.33</v>
      </c>
      <c r="O34" s="2">
        <v>88.33</v>
      </c>
      <c r="P34" s="2">
        <v>88.33</v>
      </c>
      <c r="Q34" s="2">
        <v>53.33</v>
      </c>
      <c r="R34" s="2">
        <v>53.33</v>
      </c>
      <c r="S34" s="2">
        <v>80</v>
      </c>
      <c r="T34" s="2">
        <v>80</v>
      </c>
      <c r="U34" s="2">
        <v>86.67</v>
      </c>
      <c r="V34" s="2">
        <v>86.67</v>
      </c>
      <c r="W34" s="2">
        <v>76.67</v>
      </c>
      <c r="X34" s="2">
        <v>76.67</v>
      </c>
    </row>
    <row r="35" spans="1:24" x14ac:dyDescent="0.45">
      <c r="A35" s="4" t="s">
        <v>122</v>
      </c>
      <c r="B35" s="2" t="s">
        <v>132</v>
      </c>
      <c r="C35" s="2">
        <v>61.67</v>
      </c>
      <c r="D35" s="2">
        <v>61.67</v>
      </c>
      <c r="E35" s="2">
        <v>91.67</v>
      </c>
      <c r="F35" s="2">
        <v>91.67</v>
      </c>
      <c r="G35" s="2">
        <v>53.33</v>
      </c>
      <c r="H35" s="2">
        <v>53.33</v>
      </c>
      <c r="I35" s="2">
        <v>100</v>
      </c>
      <c r="J35" s="2">
        <v>100</v>
      </c>
      <c r="K35" s="2">
        <v>100</v>
      </c>
      <c r="L35" s="2">
        <v>100</v>
      </c>
      <c r="M35" s="2">
        <v>95</v>
      </c>
      <c r="N35" s="2">
        <v>95</v>
      </c>
      <c r="O35" s="2">
        <v>90</v>
      </c>
      <c r="P35" s="2">
        <v>90</v>
      </c>
      <c r="Q35" s="2">
        <v>73.33</v>
      </c>
      <c r="R35" s="2">
        <v>73.33</v>
      </c>
      <c r="S35" s="2">
        <v>63.33</v>
      </c>
      <c r="T35" s="2">
        <v>63.33</v>
      </c>
      <c r="U35" s="2">
        <v>83.33</v>
      </c>
      <c r="V35" s="2">
        <v>83.33</v>
      </c>
      <c r="W35" s="2">
        <v>96.67</v>
      </c>
      <c r="X35" s="2">
        <v>96.67</v>
      </c>
    </row>
    <row r="36" spans="1:24" x14ac:dyDescent="0.45">
      <c r="A36" s="4" t="s">
        <v>122</v>
      </c>
      <c r="B36" s="2" t="s">
        <v>133</v>
      </c>
      <c r="C36" s="2">
        <v>85</v>
      </c>
      <c r="D36" s="2">
        <v>85</v>
      </c>
      <c r="E36" s="2">
        <v>93.33</v>
      </c>
      <c r="F36" s="2">
        <v>93.33</v>
      </c>
      <c r="G36" s="2">
        <v>73.33</v>
      </c>
      <c r="H36" s="2">
        <v>73.33</v>
      </c>
      <c r="I36" s="2">
        <v>95</v>
      </c>
      <c r="J36" s="2">
        <v>95</v>
      </c>
      <c r="K36" s="2">
        <v>83.33</v>
      </c>
      <c r="L36" s="2">
        <v>83.33</v>
      </c>
      <c r="M36" s="2">
        <v>85</v>
      </c>
      <c r="N36" s="2">
        <v>85</v>
      </c>
      <c r="O36" s="2">
        <v>81.67</v>
      </c>
      <c r="P36" s="2">
        <v>81.67</v>
      </c>
      <c r="Q36" s="2">
        <v>85</v>
      </c>
      <c r="R36" s="2">
        <v>85</v>
      </c>
      <c r="S36" s="2">
        <v>86.67</v>
      </c>
      <c r="T36" s="2">
        <v>86.67</v>
      </c>
      <c r="U36" s="2">
        <v>86.67</v>
      </c>
      <c r="V36" s="2">
        <v>86.67</v>
      </c>
      <c r="W36" s="2">
        <v>81.67</v>
      </c>
      <c r="X36" s="2">
        <v>81.67</v>
      </c>
    </row>
    <row r="37" spans="1:24" x14ac:dyDescent="0.45">
      <c r="A37" s="4" t="s">
        <v>122</v>
      </c>
      <c r="B37" s="2" t="s">
        <v>134</v>
      </c>
      <c r="C37" s="4"/>
      <c r="D37" s="4"/>
      <c r="E37" s="4"/>
      <c r="F37" s="4"/>
      <c r="G37" s="4"/>
      <c r="H37" s="4"/>
      <c r="I37" s="2">
        <v>93.33</v>
      </c>
      <c r="J37" s="2">
        <v>93.33</v>
      </c>
      <c r="K37" s="2">
        <v>90</v>
      </c>
      <c r="L37" s="2">
        <v>90</v>
      </c>
      <c r="M37" s="2">
        <v>85</v>
      </c>
      <c r="N37" s="2">
        <v>85</v>
      </c>
      <c r="O37" s="2">
        <v>85</v>
      </c>
      <c r="P37" s="2">
        <v>85</v>
      </c>
      <c r="Q37" s="2">
        <v>80</v>
      </c>
      <c r="R37" s="2">
        <v>80</v>
      </c>
      <c r="S37" s="2">
        <v>80</v>
      </c>
      <c r="T37" s="2">
        <v>80</v>
      </c>
      <c r="U37" s="2">
        <v>80</v>
      </c>
      <c r="V37" s="2">
        <v>80</v>
      </c>
      <c r="W37" s="2">
        <v>91.67</v>
      </c>
      <c r="X37" s="2">
        <v>91.67</v>
      </c>
    </row>
    <row r="38" spans="1:24" x14ac:dyDescent="0.45">
      <c r="A38" s="4" t="s">
        <v>122</v>
      </c>
      <c r="B38" s="2" t="s">
        <v>135</v>
      </c>
      <c r="C38" s="4"/>
      <c r="D38" s="4"/>
      <c r="E38" s="4"/>
      <c r="F38" s="4"/>
      <c r="G38" s="4"/>
      <c r="H38" s="4"/>
      <c r="I38" s="4"/>
      <c r="J38" s="4"/>
      <c r="K38" s="4"/>
      <c r="L38" s="4"/>
      <c r="M38" s="2">
        <v>93.33</v>
      </c>
      <c r="N38" s="2">
        <v>93.33</v>
      </c>
      <c r="O38" s="2">
        <v>98.33</v>
      </c>
      <c r="P38" s="2">
        <v>98.33</v>
      </c>
      <c r="Q38" s="2">
        <v>96.67</v>
      </c>
      <c r="R38" s="2">
        <v>96.67</v>
      </c>
      <c r="S38" s="2">
        <v>95</v>
      </c>
      <c r="T38" s="2">
        <v>95</v>
      </c>
      <c r="U38" s="2">
        <v>98.33</v>
      </c>
      <c r="V38" s="2">
        <v>98.33</v>
      </c>
      <c r="W38" s="2">
        <v>95</v>
      </c>
      <c r="X38" s="2">
        <v>95</v>
      </c>
    </row>
    <row r="39" spans="1:24" x14ac:dyDescent="0.45">
      <c r="A39" s="4" t="s">
        <v>122</v>
      </c>
      <c r="B39" s="2" t="s">
        <v>136</v>
      </c>
      <c r="C39" s="4"/>
      <c r="D39" s="4"/>
      <c r="E39" s="4"/>
      <c r="F39" s="4"/>
      <c r="G39" s="4"/>
      <c r="H39" s="4"/>
      <c r="I39" s="4"/>
      <c r="J39" s="4"/>
      <c r="K39" s="4"/>
      <c r="L39" s="4"/>
      <c r="M39" s="2">
        <v>88.33</v>
      </c>
      <c r="N39" s="2">
        <v>88.33</v>
      </c>
      <c r="O39" s="2"/>
      <c r="P39" s="2"/>
      <c r="Q39" s="2">
        <v>85</v>
      </c>
      <c r="R39" s="2">
        <v>85</v>
      </c>
      <c r="S39" s="2">
        <v>83.33</v>
      </c>
      <c r="T39" s="2">
        <v>83.33</v>
      </c>
      <c r="U39" s="2">
        <v>78.33</v>
      </c>
      <c r="V39" s="2">
        <v>78.33</v>
      </c>
      <c r="W39" s="2">
        <v>83.33</v>
      </c>
      <c r="X39" s="2">
        <v>83.33</v>
      </c>
    </row>
    <row r="40" spans="1:24" x14ac:dyDescent="0.45">
      <c r="A40" s="4" t="s">
        <v>122</v>
      </c>
      <c r="B40" s="4" t="s">
        <v>137</v>
      </c>
      <c r="C40" s="4"/>
      <c r="D40" s="4"/>
      <c r="E40" s="4"/>
      <c r="F40" s="4"/>
      <c r="G40" s="4"/>
      <c r="H40" s="4"/>
      <c r="I40" s="4"/>
      <c r="J40" s="4"/>
      <c r="K40" s="4"/>
      <c r="L40" s="4"/>
      <c r="M40" s="4"/>
      <c r="N40" s="4"/>
      <c r="O40" s="4"/>
      <c r="P40" s="4"/>
      <c r="Q40" s="4"/>
      <c r="R40" s="4"/>
      <c r="S40" s="4"/>
      <c r="T40" s="4"/>
      <c r="U40" s="4"/>
      <c r="V40" s="4"/>
      <c r="W40" s="4"/>
      <c r="X40" s="4"/>
    </row>
    <row r="41" spans="1:24" x14ac:dyDescent="0.45">
      <c r="A41" s="4" t="s">
        <v>122</v>
      </c>
      <c r="B41" s="4" t="s">
        <v>138</v>
      </c>
      <c r="C41" s="4"/>
      <c r="D41" s="4"/>
      <c r="E41" s="4"/>
      <c r="F41" s="4"/>
      <c r="G41" s="4"/>
      <c r="H41" s="4"/>
      <c r="I41" s="2">
        <v>96.67</v>
      </c>
      <c r="J41" s="2">
        <v>96.67</v>
      </c>
      <c r="K41" s="2">
        <v>98.33</v>
      </c>
      <c r="L41" s="2">
        <v>98.33</v>
      </c>
      <c r="M41" s="2">
        <v>100</v>
      </c>
      <c r="N41" s="2">
        <v>100</v>
      </c>
      <c r="O41" s="2">
        <v>91.67</v>
      </c>
      <c r="P41" s="2">
        <v>91.67</v>
      </c>
      <c r="Q41" s="2">
        <v>93.33</v>
      </c>
      <c r="R41" s="2">
        <v>93.33</v>
      </c>
      <c r="S41" s="2">
        <v>85</v>
      </c>
      <c r="T41" s="2">
        <v>85</v>
      </c>
      <c r="U41" s="2">
        <v>96.67</v>
      </c>
      <c r="V41" s="2">
        <v>96.67</v>
      </c>
      <c r="W41" s="2">
        <v>85</v>
      </c>
      <c r="X41" s="2">
        <v>85</v>
      </c>
    </row>
    <row r="42" spans="1:24" x14ac:dyDescent="0.45">
      <c r="A42" s="4" t="s">
        <v>122</v>
      </c>
      <c r="B42" s="4" t="s">
        <v>139</v>
      </c>
      <c r="C42" s="4"/>
      <c r="D42" s="4"/>
      <c r="E42" s="4"/>
      <c r="F42" s="4"/>
      <c r="G42" s="4"/>
      <c r="H42" s="4"/>
      <c r="I42" s="4"/>
      <c r="J42" s="4"/>
      <c r="K42" s="4"/>
      <c r="L42" s="4"/>
      <c r="M42" s="2">
        <v>88.33</v>
      </c>
      <c r="N42" s="2">
        <v>88.33</v>
      </c>
      <c r="O42" s="2">
        <v>65</v>
      </c>
      <c r="P42" s="2">
        <v>65</v>
      </c>
      <c r="Q42" s="2">
        <v>85</v>
      </c>
      <c r="R42" s="2">
        <v>85</v>
      </c>
      <c r="S42" s="2">
        <v>53.33</v>
      </c>
      <c r="T42" s="2">
        <v>53.33</v>
      </c>
      <c r="U42" s="2">
        <v>96.67</v>
      </c>
      <c r="V42" s="2">
        <v>96.67</v>
      </c>
      <c r="W42" s="2">
        <v>96.67</v>
      </c>
      <c r="X42" s="2">
        <v>96.67</v>
      </c>
    </row>
    <row r="43" spans="1:24" x14ac:dyDescent="0.45">
      <c r="A43" s="4" t="s">
        <v>122</v>
      </c>
      <c r="B43" s="4" t="s">
        <v>140</v>
      </c>
      <c r="C43" s="4">
        <v>85</v>
      </c>
      <c r="D43" s="4">
        <v>85</v>
      </c>
      <c r="E43" s="2">
        <v>81.67</v>
      </c>
      <c r="F43" s="2">
        <v>81.67</v>
      </c>
      <c r="G43" s="2">
        <v>93.33</v>
      </c>
      <c r="H43" s="2">
        <v>93.33</v>
      </c>
      <c r="I43" s="2">
        <v>96.67</v>
      </c>
      <c r="J43" s="2">
        <v>96.67</v>
      </c>
      <c r="K43" s="2">
        <v>91.67</v>
      </c>
      <c r="L43" s="2">
        <v>91.67</v>
      </c>
      <c r="M43" s="2">
        <v>95</v>
      </c>
      <c r="N43" s="2">
        <v>95</v>
      </c>
      <c r="O43" s="2">
        <v>81.67</v>
      </c>
      <c r="P43" s="2">
        <v>81.67</v>
      </c>
      <c r="Q43" s="2">
        <v>85</v>
      </c>
      <c r="R43" s="2">
        <v>85</v>
      </c>
      <c r="S43" s="2">
        <v>80</v>
      </c>
      <c r="T43" s="2">
        <v>80</v>
      </c>
      <c r="U43" s="2">
        <v>88.33</v>
      </c>
      <c r="V43" s="2">
        <v>88.33</v>
      </c>
      <c r="W43" s="2">
        <v>85</v>
      </c>
      <c r="X43" s="2">
        <v>85</v>
      </c>
    </row>
    <row r="44" spans="1:24" x14ac:dyDescent="0.45">
      <c r="A44" s="7" t="s">
        <v>141</v>
      </c>
      <c r="B44" s="7" t="s">
        <v>51</v>
      </c>
      <c r="C44" s="8">
        <v>68</v>
      </c>
      <c r="D44" s="8">
        <v>68</v>
      </c>
      <c r="E44" s="8">
        <v>87</v>
      </c>
      <c r="F44" s="8">
        <v>87</v>
      </c>
      <c r="G44" s="8">
        <v>87</v>
      </c>
      <c r="H44" s="8">
        <v>87</v>
      </c>
      <c r="I44" s="8">
        <v>81</v>
      </c>
      <c r="J44" s="8">
        <v>81</v>
      </c>
      <c r="K44" s="8">
        <v>81</v>
      </c>
      <c r="L44" s="8">
        <v>81</v>
      </c>
      <c r="M44" s="7"/>
      <c r="N44" s="7"/>
      <c r="O44" s="7"/>
      <c r="P44" s="7"/>
      <c r="Q44" s="7">
        <v>91</v>
      </c>
      <c r="R44" s="7">
        <v>91</v>
      </c>
      <c r="S44" s="7">
        <v>91</v>
      </c>
      <c r="T44" s="7">
        <v>91</v>
      </c>
      <c r="U44" s="7">
        <v>97</v>
      </c>
      <c r="V44" s="7">
        <v>97</v>
      </c>
      <c r="W44" s="7">
        <v>97</v>
      </c>
      <c r="X44" s="7">
        <v>97</v>
      </c>
    </row>
    <row r="45" spans="1:24" x14ac:dyDescent="0.45">
      <c r="A45" s="7" t="s">
        <v>141</v>
      </c>
      <c r="B45" s="7" t="s">
        <v>60</v>
      </c>
      <c r="C45" s="8">
        <v>75</v>
      </c>
      <c r="D45" s="8">
        <v>75</v>
      </c>
      <c r="E45" s="8">
        <v>84</v>
      </c>
      <c r="F45" s="8">
        <v>84</v>
      </c>
      <c r="G45" s="8">
        <v>84</v>
      </c>
      <c r="H45" s="8">
        <v>84</v>
      </c>
      <c r="I45" s="8">
        <v>93</v>
      </c>
      <c r="J45" s="8">
        <v>93</v>
      </c>
      <c r="K45" s="8">
        <v>93</v>
      </c>
      <c r="L45" s="8">
        <v>93</v>
      </c>
      <c r="M45" s="7"/>
      <c r="N45" s="7"/>
      <c r="O45" s="7"/>
      <c r="P45" s="7"/>
      <c r="Q45" s="7">
        <v>89</v>
      </c>
      <c r="R45" s="7">
        <v>89</v>
      </c>
      <c r="S45" s="7">
        <v>89</v>
      </c>
      <c r="T45" s="7">
        <v>89</v>
      </c>
      <c r="U45" s="7">
        <v>86</v>
      </c>
      <c r="V45" s="7">
        <v>86</v>
      </c>
      <c r="W45" s="7">
        <v>86</v>
      </c>
      <c r="X45" s="7">
        <v>86</v>
      </c>
    </row>
    <row r="46" spans="1:24" x14ac:dyDescent="0.45">
      <c r="A46" s="7" t="s">
        <v>141</v>
      </c>
      <c r="B46" s="7" t="s">
        <v>62</v>
      </c>
      <c r="C46" s="8">
        <v>97</v>
      </c>
      <c r="D46" s="8">
        <v>97</v>
      </c>
      <c r="E46" s="8">
        <v>83</v>
      </c>
      <c r="F46" s="8">
        <v>83</v>
      </c>
      <c r="G46" s="8">
        <v>83</v>
      </c>
      <c r="H46" s="8">
        <v>83</v>
      </c>
      <c r="I46" s="8">
        <v>83</v>
      </c>
      <c r="J46" s="8">
        <v>83</v>
      </c>
      <c r="K46" s="8">
        <v>83</v>
      </c>
      <c r="L46" s="8">
        <v>83</v>
      </c>
      <c r="M46" s="7">
        <v>80</v>
      </c>
      <c r="N46" s="7">
        <v>80</v>
      </c>
      <c r="O46" s="7">
        <v>80</v>
      </c>
      <c r="P46" s="7">
        <v>80</v>
      </c>
      <c r="Q46" s="7">
        <v>80</v>
      </c>
      <c r="R46" s="7">
        <v>80</v>
      </c>
      <c r="S46" s="7">
        <v>80</v>
      </c>
      <c r="T46" s="7">
        <v>80</v>
      </c>
      <c r="U46" s="7">
        <v>81</v>
      </c>
      <c r="V46" s="7">
        <v>81</v>
      </c>
      <c r="W46" s="7">
        <v>81</v>
      </c>
      <c r="X46" s="7">
        <v>81</v>
      </c>
    </row>
    <row r="47" spans="1:24" x14ac:dyDescent="0.45">
      <c r="A47" s="7" t="s">
        <v>141</v>
      </c>
      <c r="B47" s="7" t="s">
        <v>59</v>
      </c>
      <c r="C47" s="8">
        <v>98</v>
      </c>
      <c r="D47" s="8">
        <v>98</v>
      </c>
      <c r="E47" s="8">
        <v>81</v>
      </c>
      <c r="F47" s="8">
        <v>81</v>
      </c>
      <c r="G47" s="8">
        <v>81</v>
      </c>
      <c r="H47" s="8">
        <v>81</v>
      </c>
      <c r="I47" s="8">
        <v>80</v>
      </c>
      <c r="J47" s="8">
        <v>80</v>
      </c>
      <c r="K47" s="8">
        <v>80</v>
      </c>
      <c r="L47" s="8">
        <v>80</v>
      </c>
      <c r="M47" s="7">
        <v>85</v>
      </c>
      <c r="N47" s="7">
        <v>85</v>
      </c>
      <c r="O47" s="7">
        <v>85</v>
      </c>
      <c r="P47" s="7">
        <v>85</v>
      </c>
      <c r="Q47" s="7">
        <v>83</v>
      </c>
      <c r="R47" s="7">
        <v>83</v>
      </c>
      <c r="S47" s="7">
        <v>83</v>
      </c>
      <c r="T47" s="7">
        <v>83</v>
      </c>
      <c r="U47" s="7">
        <v>93</v>
      </c>
      <c r="V47" s="7">
        <v>93</v>
      </c>
      <c r="W47" s="7">
        <v>93</v>
      </c>
      <c r="X47" s="7">
        <v>93</v>
      </c>
    </row>
    <row r="48" spans="1:24" x14ac:dyDescent="0.45">
      <c r="A48" s="7" t="s">
        <v>141</v>
      </c>
      <c r="B48" s="7" t="s">
        <v>63</v>
      </c>
      <c r="C48" s="8">
        <v>93</v>
      </c>
      <c r="D48" s="8">
        <v>93</v>
      </c>
      <c r="E48" s="8">
        <v>94</v>
      </c>
      <c r="F48" s="8">
        <v>94</v>
      </c>
      <c r="G48" s="8">
        <v>94</v>
      </c>
      <c r="H48" s="8">
        <v>94</v>
      </c>
      <c r="I48" s="8">
        <v>81</v>
      </c>
      <c r="J48" s="8">
        <v>81</v>
      </c>
      <c r="K48" s="8">
        <v>81</v>
      </c>
      <c r="L48" s="8">
        <v>81</v>
      </c>
      <c r="M48" s="7"/>
      <c r="N48" s="7"/>
      <c r="O48" s="7"/>
      <c r="P48" s="7"/>
      <c r="Q48" s="7"/>
      <c r="R48" s="7"/>
      <c r="S48" s="7"/>
      <c r="T48" s="7"/>
      <c r="U48" s="7"/>
      <c r="V48" s="7"/>
      <c r="W48" s="7"/>
      <c r="X48" s="7"/>
    </row>
    <row r="49" spans="1:24" x14ac:dyDescent="0.45">
      <c r="A49" s="7" t="s">
        <v>141</v>
      </c>
      <c r="B49" s="7" t="s">
        <v>61</v>
      </c>
      <c r="C49" s="8">
        <v>93</v>
      </c>
      <c r="D49" s="8">
        <v>93</v>
      </c>
      <c r="E49" s="8">
        <v>93</v>
      </c>
      <c r="F49" s="8">
        <v>93</v>
      </c>
      <c r="G49" s="8">
        <v>93</v>
      </c>
      <c r="H49" s="8">
        <v>93</v>
      </c>
      <c r="I49" s="8">
        <v>86</v>
      </c>
      <c r="J49" s="8">
        <v>86</v>
      </c>
      <c r="K49" s="8">
        <v>86</v>
      </c>
      <c r="L49" s="8">
        <v>86</v>
      </c>
      <c r="M49" s="7">
        <v>88</v>
      </c>
      <c r="N49" s="7">
        <v>88</v>
      </c>
      <c r="O49" s="7">
        <v>88</v>
      </c>
      <c r="P49" s="7">
        <v>88</v>
      </c>
      <c r="Q49" s="7">
        <v>91</v>
      </c>
      <c r="R49" s="7">
        <v>91</v>
      </c>
      <c r="S49" s="7">
        <v>91</v>
      </c>
      <c r="T49" s="7">
        <v>91</v>
      </c>
      <c r="U49" s="7">
        <v>87</v>
      </c>
      <c r="V49" s="7">
        <v>87</v>
      </c>
      <c r="W49" s="7">
        <v>87</v>
      </c>
      <c r="X49" s="7">
        <v>87</v>
      </c>
    </row>
    <row r="50" spans="1:24" x14ac:dyDescent="0.45">
      <c r="A50" s="7" t="s">
        <v>141</v>
      </c>
      <c r="B50" s="7" t="s">
        <v>53</v>
      </c>
      <c r="C50" s="8">
        <v>75</v>
      </c>
      <c r="D50" s="8">
        <v>75</v>
      </c>
      <c r="E50" s="8">
        <v>80</v>
      </c>
      <c r="F50" s="8">
        <v>80</v>
      </c>
      <c r="G50" s="8">
        <v>80</v>
      </c>
      <c r="H50" s="8">
        <v>80</v>
      </c>
      <c r="I50" s="8">
        <v>84</v>
      </c>
      <c r="J50" s="8">
        <v>84</v>
      </c>
      <c r="K50" s="8">
        <v>84</v>
      </c>
      <c r="L50" s="8">
        <v>84</v>
      </c>
      <c r="M50" s="7">
        <v>78</v>
      </c>
      <c r="N50" s="7">
        <v>78</v>
      </c>
      <c r="O50" s="7">
        <v>78</v>
      </c>
      <c r="P50" s="7">
        <v>78</v>
      </c>
      <c r="Q50" s="7">
        <v>75</v>
      </c>
      <c r="R50" s="7">
        <v>75</v>
      </c>
      <c r="S50" s="7">
        <v>75</v>
      </c>
      <c r="T50" s="7">
        <v>75</v>
      </c>
      <c r="U50" s="7">
        <v>74</v>
      </c>
      <c r="V50" s="7">
        <v>74</v>
      </c>
      <c r="W50" s="7">
        <v>74</v>
      </c>
      <c r="X50" s="7">
        <v>74</v>
      </c>
    </row>
    <row r="51" spans="1:24" x14ac:dyDescent="0.45">
      <c r="A51" s="7" t="s">
        <v>141</v>
      </c>
      <c r="B51" s="7" t="s">
        <v>45</v>
      </c>
      <c r="C51" s="8">
        <v>76.67</v>
      </c>
      <c r="D51" s="8">
        <v>76.67</v>
      </c>
      <c r="E51" s="8">
        <v>88</v>
      </c>
      <c r="F51" s="8">
        <v>88</v>
      </c>
      <c r="G51" s="8">
        <v>88</v>
      </c>
      <c r="H51" s="8">
        <v>88</v>
      </c>
      <c r="I51" s="8" t="s">
        <v>123</v>
      </c>
      <c r="J51" s="8" t="s">
        <v>123</v>
      </c>
      <c r="K51" s="8" t="s">
        <v>123</v>
      </c>
      <c r="L51" s="8" t="s">
        <v>123</v>
      </c>
      <c r="M51" s="7">
        <v>84</v>
      </c>
      <c r="N51" s="7">
        <v>84</v>
      </c>
      <c r="O51" s="7">
        <v>84</v>
      </c>
      <c r="P51" s="7">
        <v>84</v>
      </c>
      <c r="Q51" s="7">
        <v>79</v>
      </c>
      <c r="R51" s="7">
        <v>79</v>
      </c>
      <c r="S51" s="7">
        <v>79</v>
      </c>
      <c r="T51" s="7">
        <v>79</v>
      </c>
      <c r="U51" s="7">
        <v>73</v>
      </c>
      <c r="V51" s="7">
        <v>73</v>
      </c>
      <c r="W51" s="7">
        <v>73</v>
      </c>
      <c r="X51" s="7">
        <v>73</v>
      </c>
    </row>
    <row r="52" spans="1:24" x14ac:dyDescent="0.45">
      <c r="A52" s="7" t="s">
        <v>141</v>
      </c>
      <c r="B52" s="7" t="s">
        <v>52</v>
      </c>
      <c r="C52" s="8">
        <v>95</v>
      </c>
      <c r="D52" s="8">
        <v>95</v>
      </c>
      <c r="E52" s="8">
        <v>98</v>
      </c>
      <c r="F52" s="8">
        <v>98</v>
      </c>
      <c r="G52" s="8">
        <v>98</v>
      </c>
      <c r="H52" s="8">
        <v>98</v>
      </c>
      <c r="I52" s="8">
        <v>100</v>
      </c>
      <c r="J52" s="8">
        <v>100</v>
      </c>
      <c r="K52" s="8">
        <v>100</v>
      </c>
      <c r="L52" s="8">
        <v>100</v>
      </c>
      <c r="M52" s="7">
        <v>99</v>
      </c>
      <c r="N52" s="7">
        <v>99</v>
      </c>
      <c r="O52" s="7">
        <v>99</v>
      </c>
      <c r="P52" s="7">
        <v>99</v>
      </c>
      <c r="Q52" s="7">
        <v>100</v>
      </c>
      <c r="R52" s="7">
        <v>100</v>
      </c>
      <c r="S52" s="7">
        <v>100</v>
      </c>
      <c r="T52" s="7">
        <v>100</v>
      </c>
      <c r="U52" s="7">
        <v>99</v>
      </c>
      <c r="V52" s="7">
        <v>99</v>
      </c>
      <c r="W52" s="7">
        <v>99</v>
      </c>
      <c r="X52" s="7">
        <v>99</v>
      </c>
    </row>
    <row r="53" spans="1:24" x14ac:dyDescent="0.45">
      <c r="A53" s="7" t="s">
        <v>141</v>
      </c>
      <c r="B53" s="7" t="s">
        <v>49</v>
      </c>
      <c r="C53" s="8">
        <v>56.67</v>
      </c>
      <c r="D53" s="8">
        <v>56.67</v>
      </c>
      <c r="E53" s="8">
        <v>82</v>
      </c>
      <c r="F53" s="8">
        <v>82</v>
      </c>
      <c r="G53" s="8">
        <v>82</v>
      </c>
      <c r="H53" s="8">
        <v>82</v>
      </c>
      <c r="I53" s="8">
        <v>89</v>
      </c>
      <c r="J53" s="8">
        <v>89</v>
      </c>
      <c r="K53" s="8">
        <v>89</v>
      </c>
      <c r="L53" s="8">
        <v>89</v>
      </c>
      <c r="M53" s="7">
        <v>80</v>
      </c>
      <c r="N53" s="7">
        <v>80</v>
      </c>
      <c r="O53" s="7">
        <v>80</v>
      </c>
      <c r="P53" s="7">
        <v>80</v>
      </c>
      <c r="Q53" s="7">
        <v>87</v>
      </c>
      <c r="R53" s="7">
        <v>87</v>
      </c>
      <c r="S53" s="7">
        <v>87</v>
      </c>
      <c r="T53" s="7">
        <v>87</v>
      </c>
      <c r="U53" s="7">
        <v>86</v>
      </c>
      <c r="V53" s="7">
        <v>86</v>
      </c>
      <c r="W53" s="7">
        <v>86</v>
      </c>
      <c r="X53" s="7">
        <v>86</v>
      </c>
    </row>
    <row r="54" spans="1:24" x14ac:dyDescent="0.45">
      <c r="A54" s="7" t="s">
        <v>141</v>
      </c>
      <c r="B54" s="7" t="s">
        <v>44</v>
      </c>
      <c r="C54" s="8">
        <v>96.67</v>
      </c>
      <c r="D54" s="8">
        <v>96.67</v>
      </c>
      <c r="E54" s="8">
        <v>94</v>
      </c>
      <c r="F54" s="8">
        <v>94</v>
      </c>
      <c r="G54" s="8">
        <v>94</v>
      </c>
      <c r="H54" s="8">
        <v>94</v>
      </c>
      <c r="I54" s="8">
        <v>84</v>
      </c>
      <c r="J54" s="8">
        <v>84</v>
      </c>
      <c r="K54" s="8">
        <v>84</v>
      </c>
      <c r="L54" s="8">
        <v>84</v>
      </c>
      <c r="M54" s="7">
        <v>83</v>
      </c>
      <c r="N54" s="7">
        <v>83</v>
      </c>
      <c r="O54" s="7">
        <v>83</v>
      </c>
      <c r="P54" s="7">
        <v>83</v>
      </c>
      <c r="Q54" s="7">
        <v>93</v>
      </c>
      <c r="R54" s="7">
        <v>93</v>
      </c>
      <c r="S54" s="7">
        <v>93</v>
      </c>
      <c r="T54" s="7">
        <v>93</v>
      </c>
      <c r="U54" s="7">
        <v>87</v>
      </c>
      <c r="V54" s="7">
        <v>87</v>
      </c>
      <c r="W54" s="7">
        <v>87</v>
      </c>
      <c r="X54" s="7">
        <v>87</v>
      </c>
    </row>
    <row r="55" spans="1:24" x14ac:dyDescent="0.45">
      <c r="A55" s="7" t="s">
        <v>141</v>
      </c>
      <c r="B55" s="7" t="s">
        <v>47</v>
      </c>
      <c r="C55" s="8">
        <v>83.33</v>
      </c>
      <c r="D55" s="8">
        <v>83.33</v>
      </c>
      <c r="E55" s="8">
        <v>82</v>
      </c>
      <c r="F55" s="8">
        <v>82</v>
      </c>
      <c r="G55" s="8">
        <v>82</v>
      </c>
      <c r="H55" s="8">
        <v>82</v>
      </c>
      <c r="I55" s="8">
        <v>90</v>
      </c>
      <c r="J55" s="8">
        <v>90</v>
      </c>
      <c r="K55" s="8">
        <v>90</v>
      </c>
      <c r="L55" s="8">
        <v>90</v>
      </c>
      <c r="M55" s="7">
        <v>87</v>
      </c>
      <c r="N55" s="7">
        <v>87</v>
      </c>
      <c r="O55" s="7">
        <v>87</v>
      </c>
      <c r="P55" s="7">
        <v>87</v>
      </c>
      <c r="Q55" s="7">
        <v>81</v>
      </c>
      <c r="R55" s="7">
        <v>81</v>
      </c>
      <c r="S55" s="7">
        <v>81</v>
      </c>
      <c r="T55" s="7">
        <v>81</v>
      </c>
      <c r="U55" s="7">
        <v>80</v>
      </c>
      <c r="V55" s="7">
        <v>80</v>
      </c>
      <c r="W55" s="7">
        <v>80</v>
      </c>
      <c r="X55" s="7">
        <v>80</v>
      </c>
    </row>
    <row r="56" spans="1:24" x14ac:dyDescent="0.45">
      <c r="A56" s="7" t="s">
        <v>141</v>
      </c>
      <c r="B56" s="7" t="s">
        <v>46</v>
      </c>
      <c r="C56" s="8">
        <v>86.67</v>
      </c>
      <c r="D56" s="8">
        <v>86.67</v>
      </c>
      <c r="E56" s="8">
        <v>88</v>
      </c>
      <c r="F56" s="8">
        <v>88</v>
      </c>
      <c r="G56" s="8">
        <v>88</v>
      </c>
      <c r="H56" s="8">
        <v>88</v>
      </c>
      <c r="I56" s="8">
        <v>88</v>
      </c>
      <c r="J56" s="8">
        <v>88</v>
      </c>
      <c r="K56" s="8">
        <v>88</v>
      </c>
      <c r="L56" s="8">
        <v>88</v>
      </c>
      <c r="M56" s="7">
        <v>95</v>
      </c>
      <c r="N56" s="7">
        <v>95</v>
      </c>
      <c r="O56" s="7">
        <v>95</v>
      </c>
      <c r="P56" s="7">
        <v>95</v>
      </c>
      <c r="Q56" s="7">
        <v>87</v>
      </c>
      <c r="R56" s="7">
        <v>87</v>
      </c>
      <c r="S56" s="7">
        <v>87</v>
      </c>
      <c r="T56" s="7">
        <v>87</v>
      </c>
      <c r="U56" s="7">
        <v>87</v>
      </c>
      <c r="V56" s="7">
        <v>87</v>
      </c>
      <c r="W56" s="7">
        <v>87</v>
      </c>
      <c r="X56" s="7">
        <v>87</v>
      </c>
    </row>
    <row r="57" spans="1:24" x14ac:dyDescent="0.45">
      <c r="A57" s="7" t="s">
        <v>141</v>
      </c>
      <c r="B57" s="7" t="s">
        <v>48</v>
      </c>
      <c r="C57" s="8">
        <v>100</v>
      </c>
      <c r="D57" s="8">
        <v>100</v>
      </c>
      <c r="E57" s="8">
        <v>98</v>
      </c>
      <c r="F57" s="8">
        <v>98</v>
      </c>
      <c r="G57" s="8">
        <v>98</v>
      </c>
      <c r="H57" s="8">
        <v>98</v>
      </c>
      <c r="I57" s="8">
        <v>96</v>
      </c>
      <c r="J57" s="8">
        <v>96</v>
      </c>
      <c r="K57" s="8">
        <v>96</v>
      </c>
      <c r="L57" s="8">
        <v>96</v>
      </c>
      <c r="M57" s="7">
        <v>89</v>
      </c>
      <c r="N57" s="7">
        <v>89</v>
      </c>
      <c r="O57" s="7">
        <v>89</v>
      </c>
      <c r="P57" s="7">
        <v>89</v>
      </c>
      <c r="Q57" s="7">
        <v>90</v>
      </c>
      <c r="R57" s="7">
        <v>90</v>
      </c>
      <c r="S57" s="7">
        <v>90</v>
      </c>
      <c r="T57" s="7">
        <v>90</v>
      </c>
      <c r="U57" s="7">
        <v>96</v>
      </c>
      <c r="V57" s="7">
        <v>96</v>
      </c>
      <c r="W57" s="7">
        <v>96</v>
      </c>
      <c r="X57" s="7">
        <v>96</v>
      </c>
    </row>
    <row r="58" spans="1:24" x14ac:dyDescent="0.45">
      <c r="A58" s="7" t="s">
        <v>141</v>
      </c>
      <c r="B58" s="8" t="s">
        <v>142</v>
      </c>
      <c r="C58" s="8">
        <v>86.67</v>
      </c>
      <c r="D58" s="8">
        <v>86.67</v>
      </c>
      <c r="E58" s="8">
        <v>88.33</v>
      </c>
      <c r="F58" s="8">
        <v>88.33</v>
      </c>
      <c r="G58" s="8">
        <v>88.33</v>
      </c>
      <c r="H58" s="8">
        <v>88.33</v>
      </c>
      <c r="I58" s="8">
        <v>86.67</v>
      </c>
      <c r="J58" s="8">
        <v>86.67</v>
      </c>
      <c r="K58" s="8" t="s">
        <v>123</v>
      </c>
      <c r="L58" s="8" t="s">
        <v>123</v>
      </c>
      <c r="M58" s="8">
        <v>75</v>
      </c>
      <c r="N58" s="8">
        <v>75</v>
      </c>
      <c r="O58" s="8">
        <v>91.67</v>
      </c>
      <c r="P58" s="8">
        <v>91.67</v>
      </c>
      <c r="Q58" s="8">
        <v>90</v>
      </c>
      <c r="R58" s="8">
        <v>90</v>
      </c>
      <c r="S58" s="8">
        <v>95</v>
      </c>
      <c r="T58" s="8" t="s">
        <v>143</v>
      </c>
      <c r="U58" s="8">
        <v>68.33</v>
      </c>
      <c r="V58" s="8">
        <v>68.33</v>
      </c>
      <c r="W58" s="8">
        <v>83.33</v>
      </c>
      <c r="X58" s="8">
        <v>83.33</v>
      </c>
    </row>
    <row r="59" spans="1:24" x14ac:dyDescent="0.45">
      <c r="A59" s="7" t="s">
        <v>141</v>
      </c>
      <c r="B59" s="8" t="s">
        <v>144</v>
      </c>
      <c r="C59" s="8">
        <v>66.67</v>
      </c>
      <c r="D59" s="8">
        <v>66.67</v>
      </c>
      <c r="E59" s="8" t="s">
        <v>123</v>
      </c>
      <c r="F59" s="8" t="s">
        <v>123</v>
      </c>
      <c r="G59" s="8">
        <v>68.33</v>
      </c>
      <c r="H59" s="8">
        <v>68.33</v>
      </c>
      <c r="I59" s="8">
        <v>41.67</v>
      </c>
      <c r="J59" s="8">
        <v>41.67</v>
      </c>
      <c r="K59" s="8">
        <v>53.33</v>
      </c>
      <c r="L59" s="8">
        <v>53.33</v>
      </c>
      <c r="M59" s="8">
        <v>16.670000000000002</v>
      </c>
      <c r="N59" s="8">
        <v>16.670000000000002</v>
      </c>
      <c r="O59" s="8">
        <v>71.67</v>
      </c>
      <c r="P59" s="8">
        <v>71.67</v>
      </c>
      <c r="Q59" s="8" t="s">
        <v>123</v>
      </c>
      <c r="R59" s="8" t="s">
        <v>123</v>
      </c>
      <c r="S59" s="8" t="s">
        <v>143</v>
      </c>
      <c r="T59" s="8">
        <v>23.33</v>
      </c>
      <c r="U59" s="8">
        <v>30</v>
      </c>
      <c r="V59" s="8">
        <v>30</v>
      </c>
      <c r="W59" s="8">
        <v>21.67</v>
      </c>
      <c r="X59" s="8">
        <v>21.67</v>
      </c>
    </row>
    <row r="60" spans="1:24" x14ac:dyDescent="0.45">
      <c r="A60" s="7" t="s">
        <v>141</v>
      </c>
      <c r="B60" s="8" t="s">
        <v>145</v>
      </c>
      <c r="C60" s="8">
        <v>95</v>
      </c>
      <c r="D60" s="8">
        <v>95</v>
      </c>
      <c r="E60" s="8">
        <v>95</v>
      </c>
      <c r="F60" s="8">
        <v>95</v>
      </c>
      <c r="G60" s="8">
        <v>93.33</v>
      </c>
      <c r="H60" s="8">
        <v>93.33</v>
      </c>
      <c r="I60" s="8">
        <v>98.33</v>
      </c>
      <c r="J60" s="8">
        <v>98.33</v>
      </c>
      <c r="K60" s="8">
        <v>98.33</v>
      </c>
      <c r="L60" s="8">
        <v>98.33</v>
      </c>
      <c r="M60" s="8">
        <v>88.33</v>
      </c>
      <c r="N60" s="8">
        <v>88.33</v>
      </c>
      <c r="O60" s="8">
        <v>100</v>
      </c>
      <c r="P60" s="8">
        <v>100</v>
      </c>
      <c r="Q60" s="8">
        <v>100</v>
      </c>
      <c r="R60" s="8">
        <v>100</v>
      </c>
      <c r="S60" s="8">
        <v>83.33</v>
      </c>
      <c r="T60" s="8">
        <v>95</v>
      </c>
      <c r="U60" s="8">
        <v>98.33</v>
      </c>
      <c r="V60" s="8">
        <v>98.33</v>
      </c>
      <c r="W60" s="8">
        <v>100</v>
      </c>
      <c r="X60" s="8">
        <v>100</v>
      </c>
    </row>
    <row r="61" spans="1:24" x14ac:dyDescent="0.45">
      <c r="A61" s="7" t="s">
        <v>141</v>
      </c>
      <c r="B61" s="8" t="s">
        <v>146</v>
      </c>
      <c r="C61" s="8">
        <v>93.33</v>
      </c>
      <c r="D61" s="8">
        <v>93.33</v>
      </c>
      <c r="E61" s="8">
        <v>85</v>
      </c>
      <c r="F61" s="8">
        <v>85</v>
      </c>
      <c r="G61" s="8">
        <v>91.67</v>
      </c>
      <c r="H61" s="8">
        <v>91.67</v>
      </c>
      <c r="I61" s="8">
        <v>95</v>
      </c>
      <c r="J61" s="8">
        <v>95</v>
      </c>
      <c r="K61" s="8">
        <v>93.33</v>
      </c>
      <c r="L61" s="8">
        <v>93.33</v>
      </c>
      <c r="M61" s="8">
        <v>90</v>
      </c>
      <c r="N61" s="8">
        <v>90</v>
      </c>
      <c r="O61" s="8">
        <v>78.33</v>
      </c>
      <c r="P61" s="8">
        <v>78.33</v>
      </c>
      <c r="Q61" s="8">
        <v>95</v>
      </c>
      <c r="R61" s="8">
        <v>95</v>
      </c>
      <c r="S61" s="8">
        <v>83.33</v>
      </c>
      <c r="T61" s="8">
        <v>76.67</v>
      </c>
      <c r="U61" s="8">
        <v>68.33</v>
      </c>
      <c r="V61" s="8">
        <v>68.33</v>
      </c>
      <c r="W61" s="8">
        <v>85</v>
      </c>
      <c r="X61" s="8">
        <v>85</v>
      </c>
    </row>
    <row r="62" spans="1:24" x14ac:dyDescent="0.45">
      <c r="A62" s="7" t="s">
        <v>141</v>
      </c>
      <c r="B62" s="8" t="s">
        <v>147</v>
      </c>
      <c r="C62" s="8">
        <v>86.67</v>
      </c>
      <c r="D62" s="8">
        <v>86.67</v>
      </c>
      <c r="E62" s="8">
        <v>95</v>
      </c>
      <c r="F62" s="8">
        <v>95</v>
      </c>
      <c r="G62" s="8">
        <v>100</v>
      </c>
      <c r="H62" s="8">
        <v>100</v>
      </c>
      <c r="I62" s="8">
        <v>100</v>
      </c>
      <c r="J62" s="8">
        <v>100</v>
      </c>
      <c r="K62" s="8">
        <v>100</v>
      </c>
      <c r="L62" s="8">
        <v>100</v>
      </c>
      <c r="M62" s="8">
        <v>93.33</v>
      </c>
      <c r="N62" s="8">
        <v>93.33</v>
      </c>
      <c r="O62" s="8">
        <v>100</v>
      </c>
      <c r="P62" s="8">
        <v>100</v>
      </c>
      <c r="Q62" s="8">
        <v>96.67</v>
      </c>
      <c r="R62" s="8">
        <v>96.67</v>
      </c>
      <c r="S62" s="8">
        <v>95</v>
      </c>
      <c r="T62" s="8">
        <v>96.67</v>
      </c>
      <c r="U62" s="8">
        <v>96.67</v>
      </c>
      <c r="V62" s="8">
        <v>96.67</v>
      </c>
      <c r="W62" s="8">
        <v>98.33</v>
      </c>
      <c r="X62" s="8">
        <v>98.33</v>
      </c>
    </row>
    <row r="63" spans="1:24" x14ac:dyDescent="0.45">
      <c r="A63" s="7" t="s">
        <v>141</v>
      </c>
      <c r="B63" s="8" t="s">
        <v>148</v>
      </c>
      <c r="C63" s="7"/>
      <c r="D63" s="7"/>
      <c r="E63" s="7"/>
      <c r="F63" s="7"/>
      <c r="G63" s="7"/>
      <c r="H63" s="7"/>
      <c r="I63" s="7"/>
      <c r="J63" s="7"/>
      <c r="K63" s="8">
        <v>20</v>
      </c>
      <c r="L63" s="8">
        <v>20</v>
      </c>
      <c r="M63" s="8">
        <v>33.33</v>
      </c>
      <c r="N63" s="8">
        <v>33.33</v>
      </c>
      <c r="O63" s="8">
        <v>38.33</v>
      </c>
      <c r="P63" s="8">
        <v>38.33</v>
      </c>
      <c r="Q63" s="8">
        <v>25</v>
      </c>
      <c r="R63" s="8">
        <v>25</v>
      </c>
      <c r="S63" s="8">
        <v>31.67</v>
      </c>
      <c r="T63" s="8">
        <v>83.33</v>
      </c>
      <c r="U63" s="8">
        <v>75</v>
      </c>
      <c r="V63" s="8">
        <v>75</v>
      </c>
      <c r="W63" s="8">
        <v>33.33</v>
      </c>
      <c r="X63" s="8">
        <v>33.33</v>
      </c>
    </row>
    <row r="64" spans="1:24" x14ac:dyDescent="0.45">
      <c r="A64" s="7" t="s">
        <v>141</v>
      </c>
      <c r="B64" s="8" t="s">
        <v>149</v>
      </c>
      <c r="C64" s="7"/>
      <c r="D64" s="7"/>
      <c r="E64" s="7"/>
      <c r="F64" s="7"/>
      <c r="G64" s="7"/>
      <c r="H64" s="7"/>
      <c r="I64" s="7"/>
      <c r="J64" s="10"/>
      <c r="K64" s="7"/>
      <c r="L64" s="10"/>
      <c r="M64" s="7"/>
      <c r="N64" s="10"/>
      <c r="O64" s="7"/>
      <c r="P64" s="7"/>
      <c r="Q64" s="7"/>
      <c r="R64" s="7"/>
      <c r="S64" s="7"/>
      <c r="T64" s="8">
        <v>75</v>
      </c>
      <c r="U64" s="8">
        <v>45</v>
      </c>
      <c r="V64" s="8">
        <v>45</v>
      </c>
      <c r="W64" s="8">
        <v>86.67</v>
      </c>
      <c r="X64" s="8">
        <v>86.67</v>
      </c>
    </row>
    <row r="65" spans="1:24" x14ac:dyDescent="0.45">
      <c r="A65" s="11" t="s">
        <v>150</v>
      </c>
      <c r="B65" s="12" t="s">
        <v>151</v>
      </c>
      <c r="C65" s="12">
        <v>70</v>
      </c>
      <c r="D65" s="12">
        <v>70</v>
      </c>
      <c r="E65" s="12">
        <v>30</v>
      </c>
      <c r="F65" s="12">
        <v>30</v>
      </c>
      <c r="G65" s="12">
        <v>67.5</v>
      </c>
      <c r="H65" s="12">
        <v>67.5</v>
      </c>
      <c r="I65" s="12">
        <v>87.5</v>
      </c>
      <c r="J65" s="12">
        <v>87.5</v>
      </c>
      <c r="K65" s="12">
        <v>87.5</v>
      </c>
      <c r="L65" s="12">
        <v>87.5</v>
      </c>
      <c r="M65" s="12"/>
      <c r="N65" s="12"/>
      <c r="O65" s="12">
        <v>37.5</v>
      </c>
      <c r="P65" s="12">
        <v>37.5</v>
      </c>
      <c r="Q65" s="12">
        <v>72.5</v>
      </c>
      <c r="R65" s="12">
        <v>72.5</v>
      </c>
      <c r="S65" s="12">
        <v>55</v>
      </c>
      <c r="T65" s="12">
        <v>55</v>
      </c>
      <c r="U65" s="12">
        <v>93.75</v>
      </c>
      <c r="V65" s="12">
        <v>93.75</v>
      </c>
      <c r="W65" s="12">
        <v>72.5</v>
      </c>
      <c r="X65" s="12">
        <v>72.5</v>
      </c>
    </row>
    <row r="66" spans="1:24" x14ac:dyDescent="0.45">
      <c r="A66" s="11" t="s">
        <v>150</v>
      </c>
      <c r="B66" s="12" t="s">
        <v>152</v>
      </c>
      <c r="C66" s="12">
        <v>70</v>
      </c>
      <c r="D66" s="12">
        <v>70</v>
      </c>
      <c r="E66" s="12">
        <v>76.25</v>
      </c>
      <c r="F66" s="12">
        <v>76.25</v>
      </c>
      <c r="G66" s="12">
        <v>71.25</v>
      </c>
      <c r="H66" s="12">
        <v>71.25</v>
      </c>
      <c r="I66" s="12">
        <v>90</v>
      </c>
      <c r="J66" s="12">
        <v>90</v>
      </c>
      <c r="K66" s="12">
        <v>88.75</v>
      </c>
      <c r="L66" s="12">
        <v>88.75</v>
      </c>
      <c r="M66" s="12">
        <v>43.75</v>
      </c>
      <c r="N66" s="12">
        <v>43.75</v>
      </c>
      <c r="O66" s="12">
        <v>52.5</v>
      </c>
      <c r="P66" s="12">
        <v>52.5</v>
      </c>
      <c r="Q66" s="12">
        <v>91.25</v>
      </c>
      <c r="R66" s="12">
        <v>91.25</v>
      </c>
      <c r="S66" s="12">
        <v>92.5</v>
      </c>
      <c r="T66" s="12">
        <v>92.5</v>
      </c>
      <c r="U66" s="12">
        <v>92.5</v>
      </c>
      <c r="V66" s="12">
        <v>92.5</v>
      </c>
      <c r="W66" s="12">
        <v>91.25</v>
      </c>
      <c r="X66" s="12">
        <v>91.25</v>
      </c>
    </row>
    <row r="67" spans="1:24" x14ac:dyDescent="0.45">
      <c r="A67" s="11" t="s">
        <v>150</v>
      </c>
      <c r="B67" s="12" t="s">
        <v>153</v>
      </c>
      <c r="C67" s="12">
        <v>90</v>
      </c>
      <c r="D67" s="12">
        <v>90</v>
      </c>
      <c r="E67" s="12">
        <v>91.25</v>
      </c>
      <c r="F67" s="12">
        <v>91.25</v>
      </c>
      <c r="G67" s="12">
        <v>98.75</v>
      </c>
      <c r="H67" s="12">
        <v>98.75</v>
      </c>
      <c r="I67" s="12">
        <v>93.75</v>
      </c>
      <c r="J67" s="12">
        <v>93.75</v>
      </c>
      <c r="K67" s="12">
        <v>93.75</v>
      </c>
      <c r="L67" s="12">
        <v>93.75</v>
      </c>
      <c r="M67" s="12">
        <v>96.25</v>
      </c>
      <c r="N67" s="12">
        <v>96.25</v>
      </c>
      <c r="O67" s="12">
        <v>93.75</v>
      </c>
      <c r="P67" s="12">
        <v>93.75</v>
      </c>
      <c r="Q67" s="12">
        <v>96.25</v>
      </c>
      <c r="R67" s="12">
        <v>96.25</v>
      </c>
      <c r="S67" s="12">
        <v>97.5</v>
      </c>
      <c r="T67" s="12">
        <v>97.5</v>
      </c>
      <c r="U67" s="12">
        <v>95</v>
      </c>
      <c r="V67" s="12">
        <v>95</v>
      </c>
      <c r="W67" s="12">
        <v>96.25</v>
      </c>
      <c r="X67" s="12">
        <v>96.25</v>
      </c>
    </row>
    <row r="68" spans="1:24" x14ac:dyDescent="0.45">
      <c r="A68" s="11" t="s">
        <v>150</v>
      </c>
      <c r="B68" s="12" t="s">
        <v>154</v>
      </c>
      <c r="C68" s="12">
        <v>51.25</v>
      </c>
      <c r="D68" s="12">
        <v>51.25</v>
      </c>
      <c r="E68" s="12">
        <v>87.5</v>
      </c>
      <c r="F68" s="12">
        <v>87.5</v>
      </c>
      <c r="G68" s="12">
        <v>48.75</v>
      </c>
      <c r="H68" s="12">
        <v>48.75</v>
      </c>
      <c r="I68" s="12">
        <v>88.75</v>
      </c>
      <c r="J68" s="12">
        <v>88.75</v>
      </c>
      <c r="K68" s="12">
        <v>58.75</v>
      </c>
      <c r="L68" s="12">
        <v>58.75</v>
      </c>
      <c r="M68" s="12">
        <v>80</v>
      </c>
      <c r="N68" s="12">
        <v>80</v>
      </c>
      <c r="O68" s="12">
        <v>40</v>
      </c>
      <c r="P68" s="12">
        <v>40</v>
      </c>
      <c r="Q68" s="12">
        <v>90</v>
      </c>
      <c r="R68" s="12">
        <v>90</v>
      </c>
      <c r="S68" s="12">
        <v>78.75</v>
      </c>
      <c r="T68" s="12">
        <v>78.75</v>
      </c>
      <c r="U68" s="12">
        <v>68.75</v>
      </c>
      <c r="V68" s="12">
        <v>68.75</v>
      </c>
      <c r="W68" s="12">
        <v>90</v>
      </c>
      <c r="X68" s="12">
        <v>90</v>
      </c>
    </row>
    <row r="69" spans="1:24" x14ac:dyDescent="0.45">
      <c r="A69" s="11" t="s">
        <v>150</v>
      </c>
      <c r="B69" s="12" t="s">
        <v>155</v>
      </c>
      <c r="C69" s="12">
        <v>90</v>
      </c>
      <c r="D69" s="12">
        <v>90</v>
      </c>
      <c r="E69" s="12">
        <v>72.5</v>
      </c>
      <c r="F69" s="12">
        <v>72.5</v>
      </c>
      <c r="G69" s="12">
        <v>91.25</v>
      </c>
      <c r="H69" s="12">
        <v>91.25</v>
      </c>
      <c r="I69" s="12">
        <v>87.5</v>
      </c>
      <c r="J69" s="12">
        <v>87.5</v>
      </c>
      <c r="K69" s="12">
        <v>87.5</v>
      </c>
      <c r="L69" s="12">
        <v>87.5</v>
      </c>
      <c r="M69" s="12">
        <v>85</v>
      </c>
      <c r="N69" s="12">
        <v>85</v>
      </c>
      <c r="O69" s="12">
        <v>88.75</v>
      </c>
      <c r="P69" s="12">
        <v>88.75</v>
      </c>
      <c r="Q69" s="12">
        <v>90</v>
      </c>
      <c r="R69" s="12">
        <v>90</v>
      </c>
      <c r="S69" s="12">
        <v>96.25</v>
      </c>
      <c r="T69" s="12">
        <v>96.25</v>
      </c>
      <c r="U69" s="12">
        <v>92.5</v>
      </c>
      <c r="V69" s="12">
        <v>92.5</v>
      </c>
      <c r="W69" s="12">
        <v>90</v>
      </c>
      <c r="X69" s="12">
        <v>90</v>
      </c>
    </row>
    <row r="70" spans="1:24" x14ac:dyDescent="0.45">
      <c r="A70" s="11" t="s">
        <v>150</v>
      </c>
      <c r="B70" s="12" t="s">
        <v>156</v>
      </c>
      <c r="C70" s="11"/>
      <c r="D70" s="11"/>
      <c r="E70" s="12">
        <v>90</v>
      </c>
      <c r="F70" s="12">
        <v>90</v>
      </c>
      <c r="G70" s="12">
        <v>98.75</v>
      </c>
      <c r="H70" s="12">
        <v>98.75</v>
      </c>
      <c r="I70" s="12">
        <v>100</v>
      </c>
      <c r="J70" s="12">
        <v>100</v>
      </c>
      <c r="K70" s="12">
        <v>100</v>
      </c>
      <c r="L70" s="12">
        <v>100</v>
      </c>
      <c r="M70" s="12">
        <v>100</v>
      </c>
      <c r="N70" s="12">
        <v>100</v>
      </c>
      <c r="O70" s="12">
        <v>100</v>
      </c>
      <c r="P70" s="12">
        <v>100</v>
      </c>
      <c r="Q70" s="12">
        <v>98.75</v>
      </c>
      <c r="R70" s="12">
        <v>98.75</v>
      </c>
      <c r="S70" s="12">
        <v>100</v>
      </c>
      <c r="T70" s="12">
        <v>100</v>
      </c>
      <c r="U70" s="12">
        <v>100</v>
      </c>
      <c r="V70" s="12">
        <v>100</v>
      </c>
      <c r="W70" s="12">
        <v>98.75</v>
      </c>
      <c r="X70" s="12">
        <v>98.75</v>
      </c>
    </row>
    <row r="71" spans="1:24" x14ac:dyDescent="0.45">
      <c r="A71" s="11" t="s">
        <v>150</v>
      </c>
      <c r="B71" s="11" t="s">
        <v>157</v>
      </c>
      <c r="C71" s="11"/>
      <c r="D71" s="11"/>
      <c r="E71" s="11"/>
      <c r="F71" s="11"/>
      <c r="G71" s="11"/>
      <c r="H71" s="11"/>
      <c r="I71" s="11"/>
      <c r="J71" s="11"/>
      <c r="K71" s="11"/>
      <c r="L71" s="11"/>
      <c r="M71" s="11"/>
      <c r="N71" s="11"/>
      <c r="O71" s="11"/>
      <c r="P71" s="11"/>
      <c r="Q71" s="12">
        <v>40</v>
      </c>
      <c r="R71" s="12">
        <v>40</v>
      </c>
      <c r="S71" s="12">
        <v>93.75</v>
      </c>
      <c r="T71" s="12">
        <v>93.75</v>
      </c>
      <c r="U71" s="12">
        <v>98.75</v>
      </c>
      <c r="V71" s="12">
        <v>98.75</v>
      </c>
      <c r="W71" s="12">
        <v>40</v>
      </c>
      <c r="X71" s="12">
        <v>40</v>
      </c>
    </row>
    <row r="72" spans="1:24" x14ac:dyDescent="0.45">
      <c r="A72" s="11" t="s">
        <v>150</v>
      </c>
      <c r="B72" s="12" t="s">
        <v>98</v>
      </c>
      <c r="C72" s="12">
        <v>97.5</v>
      </c>
      <c r="D72" s="12">
        <v>97.5</v>
      </c>
      <c r="E72" s="12">
        <v>85</v>
      </c>
      <c r="F72" s="12">
        <v>85</v>
      </c>
      <c r="G72" s="12">
        <v>85</v>
      </c>
      <c r="H72" s="12">
        <v>85</v>
      </c>
      <c r="I72" s="12">
        <v>78</v>
      </c>
      <c r="J72" s="12">
        <v>78</v>
      </c>
      <c r="K72" s="12">
        <v>78</v>
      </c>
      <c r="L72" s="12">
        <v>78</v>
      </c>
      <c r="M72" s="12">
        <v>93</v>
      </c>
      <c r="N72" s="12">
        <v>93</v>
      </c>
      <c r="O72" s="12">
        <v>93</v>
      </c>
      <c r="P72" s="12">
        <v>93</v>
      </c>
      <c r="Q72" s="12">
        <v>80</v>
      </c>
      <c r="R72" s="12">
        <v>80</v>
      </c>
      <c r="S72" s="12">
        <v>80</v>
      </c>
      <c r="T72" s="12">
        <v>80</v>
      </c>
      <c r="U72" s="12">
        <v>80</v>
      </c>
      <c r="V72" s="12">
        <v>80</v>
      </c>
      <c r="W72" s="12">
        <v>80</v>
      </c>
      <c r="X72" s="12">
        <v>80</v>
      </c>
    </row>
    <row r="73" spans="1:24" x14ac:dyDescent="0.45">
      <c r="A73" s="11" t="s">
        <v>150</v>
      </c>
      <c r="B73" s="12" t="s">
        <v>89</v>
      </c>
      <c r="C73" s="12">
        <v>80</v>
      </c>
      <c r="D73" s="12">
        <v>80</v>
      </c>
      <c r="E73" s="12">
        <v>87</v>
      </c>
      <c r="F73" s="12">
        <v>87</v>
      </c>
      <c r="G73" s="12">
        <v>87</v>
      </c>
      <c r="H73" s="12">
        <v>87</v>
      </c>
      <c r="I73" s="12">
        <v>92</v>
      </c>
      <c r="J73" s="12">
        <v>92</v>
      </c>
      <c r="K73" s="12">
        <v>92</v>
      </c>
      <c r="L73" s="12">
        <v>92</v>
      </c>
      <c r="M73" s="12">
        <v>87</v>
      </c>
      <c r="N73" s="12">
        <v>87</v>
      </c>
      <c r="O73" s="12">
        <v>87</v>
      </c>
      <c r="P73" s="12">
        <v>87</v>
      </c>
      <c r="Q73" s="13"/>
      <c r="R73" s="13"/>
      <c r="S73" s="13"/>
      <c r="T73" s="13"/>
      <c r="U73" s="12">
        <v>87</v>
      </c>
      <c r="V73" s="12">
        <v>87</v>
      </c>
      <c r="W73" s="12">
        <v>87</v>
      </c>
      <c r="X73" s="12">
        <v>87</v>
      </c>
    </row>
    <row r="74" spans="1:24" x14ac:dyDescent="0.45">
      <c r="A74" s="11" t="s">
        <v>150</v>
      </c>
      <c r="B74" s="12" t="s">
        <v>93</v>
      </c>
      <c r="C74" s="12">
        <v>80</v>
      </c>
      <c r="D74" s="12">
        <v>80</v>
      </c>
      <c r="E74" s="12">
        <v>59</v>
      </c>
      <c r="F74" s="12">
        <v>59</v>
      </c>
      <c r="G74" s="12">
        <v>59</v>
      </c>
      <c r="H74" s="12">
        <v>59</v>
      </c>
      <c r="I74" s="12">
        <v>79</v>
      </c>
      <c r="J74" s="12">
        <v>79</v>
      </c>
      <c r="K74" s="12">
        <v>79</v>
      </c>
      <c r="L74" s="12">
        <v>79</v>
      </c>
      <c r="M74" s="12">
        <v>91</v>
      </c>
      <c r="N74" s="12">
        <v>91</v>
      </c>
      <c r="O74" s="12">
        <v>91</v>
      </c>
      <c r="P74" s="12">
        <v>91</v>
      </c>
      <c r="Q74" s="12">
        <v>87</v>
      </c>
      <c r="R74" s="12">
        <v>87</v>
      </c>
      <c r="S74" s="12">
        <v>87</v>
      </c>
      <c r="T74" s="12">
        <v>87</v>
      </c>
      <c r="U74" s="12">
        <v>81</v>
      </c>
      <c r="V74" s="12">
        <v>81</v>
      </c>
      <c r="W74" s="12">
        <v>81</v>
      </c>
      <c r="X74" s="12">
        <v>81</v>
      </c>
    </row>
    <row r="75" spans="1:24" x14ac:dyDescent="0.45">
      <c r="A75" s="11" t="s">
        <v>150</v>
      </c>
      <c r="B75" s="12" t="s">
        <v>86</v>
      </c>
      <c r="C75" s="12">
        <v>60</v>
      </c>
      <c r="D75" s="12">
        <v>60</v>
      </c>
      <c r="E75" s="12">
        <v>43</v>
      </c>
      <c r="F75" s="12">
        <v>43</v>
      </c>
      <c r="G75" s="12">
        <v>43</v>
      </c>
      <c r="H75" s="12">
        <v>43</v>
      </c>
      <c r="I75" s="12">
        <v>69</v>
      </c>
      <c r="J75" s="12">
        <v>69</v>
      </c>
      <c r="K75" s="12">
        <v>69</v>
      </c>
      <c r="L75" s="12">
        <v>69</v>
      </c>
      <c r="M75" s="12">
        <v>82</v>
      </c>
      <c r="N75" s="12">
        <v>82</v>
      </c>
      <c r="O75" s="12">
        <v>82</v>
      </c>
      <c r="P75" s="12">
        <v>82</v>
      </c>
      <c r="Q75" s="12">
        <v>90</v>
      </c>
      <c r="R75" s="12">
        <v>90</v>
      </c>
      <c r="S75" s="12">
        <v>90</v>
      </c>
      <c r="T75" s="12">
        <v>90</v>
      </c>
      <c r="U75" s="12">
        <v>81</v>
      </c>
      <c r="V75" s="12">
        <v>81</v>
      </c>
      <c r="W75" s="12">
        <v>81</v>
      </c>
      <c r="X75" s="12">
        <v>81</v>
      </c>
    </row>
    <row r="76" spans="1:24" x14ac:dyDescent="0.45">
      <c r="A76" s="11" t="s">
        <v>150</v>
      </c>
      <c r="B76" s="12" t="s">
        <v>87</v>
      </c>
      <c r="C76" s="12">
        <v>90</v>
      </c>
      <c r="D76" s="12">
        <v>90</v>
      </c>
      <c r="E76" s="12">
        <v>82</v>
      </c>
      <c r="F76" s="12">
        <v>82</v>
      </c>
      <c r="G76" s="12">
        <v>82</v>
      </c>
      <c r="H76" s="12">
        <v>82</v>
      </c>
      <c r="I76" s="12">
        <v>87</v>
      </c>
      <c r="J76" s="12">
        <v>87</v>
      </c>
      <c r="K76" s="12">
        <v>87</v>
      </c>
      <c r="L76" s="12">
        <v>87</v>
      </c>
      <c r="M76" s="12">
        <v>88</v>
      </c>
      <c r="N76" s="12">
        <v>88</v>
      </c>
      <c r="O76" s="12">
        <v>88</v>
      </c>
      <c r="P76" s="12">
        <v>88</v>
      </c>
      <c r="Q76" s="12">
        <v>89</v>
      </c>
      <c r="R76" s="12">
        <v>89</v>
      </c>
      <c r="S76" s="12">
        <v>89</v>
      </c>
      <c r="T76" s="12">
        <v>89</v>
      </c>
      <c r="U76" s="12">
        <v>88</v>
      </c>
      <c r="V76" s="12">
        <v>88</v>
      </c>
      <c r="W76" s="12">
        <v>88</v>
      </c>
      <c r="X76" s="12">
        <v>88</v>
      </c>
    </row>
    <row r="77" spans="1:24" x14ac:dyDescent="0.45">
      <c r="A77" s="11" t="s">
        <v>150</v>
      </c>
      <c r="B77" s="12" t="s">
        <v>97</v>
      </c>
      <c r="C77" s="12">
        <v>86.25</v>
      </c>
      <c r="D77" s="12">
        <v>86.25</v>
      </c>
      <c r="E77" s="12">
        <v>67</v>
      </c>
      <c r="F77" s="12">
        <v>67</v>
      </c>
      <c r="G77" s="12">
        <v>67</v>
      </c>
      <c r="H77" s="12">
        <v>67</v>
      </c>
      <c r="I77" s="12">
        <v>74</v>
      </c>
      <c r="J77" s="12">
        <v>74</v>
      </c>
      <c r="K77" s="12">
        <v>74</v>
      </c>
      <c r="L77" s="12">
        <v>74</v>
      </c>
      <c r="M77" s="12">
        <v>89</v>
      </c>
      <c r="N77" s="12">
        <v>89</v>
      </c>
      <c r="O77" s="12">
        <v>89</v>
      </c>
      <c r="P77" s="12">
        <v>89</v>
      </c>
      <c r="Q77" s="12">
        <v>87</v>
      </c>
      <c r="R77" s="12">
        <v>87</v>
      </c>
      <c r="S77" s="12">
        <v>87</v>
      </c>
      <c r="T77" s="12">
        <v>87</v>
      </c>
      <c r="U77" s="12">
        <v>86</v>
      </c>
      <c r="V77" s="12">
        <v>86</v>
      </c>
      <c r="W77" s="12">
        <v>86</v>
      </c>
      <c r="X77" s="12">
        <v>86</v>
      </c>
    </row>
    <row r="78" spans="1:24" x14ac:dyDescent="0.45">
      <c r="A78" s="11" t="s">
        <v>150</v>
      </c>
      <c r="B78" s="12" t="s">
        <v>83</v>
      </c>
      <c r="C78" s="12">
        <v>90</v>
      </c>
      <c r="D78" s="12">
        <v>90</v>
      </c>
      <c r="E78" s="12">
        <v>77</v>
      </c>
      <c r="F78" s="12">
        <v>77</v>
      </c>
      <c r="G78" s="12">
        <v>77</v>
      </c>
      <c r="H78" s="12">
        <v>77</v>
      </c>
      <c r="I78" s="12">
        <v>92</v>
      </c>
      <c r="J78" s="12">
        <v>92</v>
      </c>
      <c r="K78" s="12">
        <v>92</v>
      </c>
      <c r="L78" s="12">
        <v>92</v>
      </c>
      <c r="M78" s="12">
        <v>91</v>
      </c>
      <c r="N78" s="12">
        <v>91</v>
      </c>
      <c r="O78" s="12">
        <v>91</v>
      </c>
      <c r="P78" s="12">
        <v>91</v>
      </c>
      <c r="Q78" s="12">
        <v>92</v>
      </c>
      <c r="R78" s="12">
        <v>92</v>
      </c>
      <c r="S78" s="12">
        <v>92</v>
      </c>
      <c r="T78" s="12">
        <v>92</v>
      </c>
      <c r="U78" s="12">
        <v>90</v>
      </c>
      <c r="V78" s="12">
        <v>90</v>
      </c>
      <c r="W78" s="12">
        <v>90</v>
      </c>
      <c r="X78" s="12">
        <v>90</v>
      </c>
    </row>
    <row r="79" spans="1:24" x14ac:dyDescent="0.45">
      <c r="A79" s="11" t="s">
        <v>150</v>
      </c>
      <c r="B79" s="12" t="s">
        <v>96</v>
      </c>
      <c r="C79" s="12">
        <v>98.75</v>
      </c>
      <c r="D79" s="12">
        <v>98.75</v>
      </c>
      <c r="E79" s="12">
        <v>97</v>
      </c>
      <c r="F79" s="12">
        <v>97</v>
      </c>
      <c r="G79" s="12">
        <v>97</v>
      </c>
      <c r="H79" s="12">
        <v>97</v>
      </c>
      <c r="I79" s="12">
        <v>100</v>
      </c>
      <c r="J79" s="12">
        <v>100</v>
      </c>
      <c r="K79" s="12">
        <v>100</v>
      </c>
      <c r="L79" s="12">
        <v>100</v>
      </c>
      <c r="M79" s="11"/>
      <c r="N79" s="11"/>
      <c r="O79" s="11"/>
      <c r="P79" s="11"/>
      <c r="Q79" s="11"/>
      <c r="R79" s="11"/>
      <c r="S79" s="11"/>
      <c r="T79" s="11"/>
      <c r="U79" s="11"/>
      <c r="V79" s="11"/>
      <c r="W79" s="11"/>
      <c r="X79" s="11"/>
    </row>
    <row r="80" spans="1:24" x14ac:dyDescent="0.45">
      <c r="A80" s="11" t="s">
        <v>150</v>
      </c>
      <c r="B80" s="12" t="s">
        <v>95</v>
      </c>
      <c r="C80" s="12">
        <v>83.75</v>
      </c>
      <c r="D80" s="12">
        <v>83.75</v>
      </c>
      <c r="E80" s="12">
        <v>88</v>
      </c>
      <c r="F80" s="12">
        <v>88</v>
      </c>
      <c r="G80" s="12">
        <v>88</v>
      </c>
      <c r="H80" s="12">
        <v>88</v>
      </c>
      <c r="I80" s="12">
        <v>92</v>
      </c>
      <c r="J80" s="12">
        <v>92</v>
      </c>
      <c r="K80" s="12">
        <v>92</v>
      </c>
      <c r="L80" s="12">
        <v>92</v>
      </c>
      <c r="M80" s="12">
        <v>88</v>
      </c>
      <c r="N80" s="12">
        <v>88</v>
      </c>
      <c r="O80" s="12">
        <v>88</v>
      </c>
      <c r="P80" s="12">
        <v>88</v>
      </c>
      <c r="Q80" s="12">
        <v>90</v>
      </c>
      <c r="R80" s="12">
        <v>90</v>
      </c>
      <c r="S80" s="12">
        <v>90</v>
      </c>
      <c r="T80" s="12">
        <v>90</v>
      </c>
      <c r="U80" s="12">
        <v>88</v>
      </c>
      <c r="V80" s="12">
        <v>88</v>
      </c>
      <c r="W80" s="12">
        <v>88</v>
      </c>
      <c r="X80" s="12">
        <v>88</v>
      </c>
    </row>
    <row r="81" spans="1:24" x14ac:dyDescent="0.45">
      <c r="A81" s="11" t="s">
        <v>150</v>
      </c>
      <c r="B81" s="12" t="s">
        <v>99</v>
      </c>
      <c r="C81" s="12">
        <v>98.75</v>
      </c>
      <c r="D81" s="12">
        <v>98.75</v>
      </c>
      <c r="E81" s="12">
        <v>83</v>
      </c>
      <c r="F81" s="12">
        <v>83</v>
      </c>
      <c r="G81" s="12">
        <v>83</v>
      </c>
      <c r="H81" s="12">
        <v>83</v>
      </c>
      <c r="I81" s="12">
        <v>97</v>
      </c>
      <c r="J81" s="12">
        <v>97</v>
      </c>
      <c r="K81" s="12">
        <v>97</v>
      </c>
      <c r="L81" s="12">
        <v>97</v>
      </c>
      <c r="M81" s="11"/>
      <c r="N81" s="11"/>
      <c r="O81" s="11"/>
      <c r="P81" s="11"/>
      <c r="Q81" s="11"/>
      <c r="R81" s="11"/>
      <c r="S81" s="11"/>
      <c r="T81" s="11"/>
      <c r="U81" s="11"/>
      <c r="V81" s="11"/>
      <c r="W81" s="11"/>
      <c r="X81" s="11"/>
    </row>
    <row r="82" spans="1:24" x14ac:dyDescent="0.45">
      <c r="A82" s="11" t="s">
        <v>150</v>
      </c>
      <c r="B82" s="12" t="s">
        <v>94</v>
      </c>
      <c r="C82" s="12">
        <v>95</v>
      </c>
      <c r="D82" s="12">
        <v>95</v>
      </c>
      <c r="E82" s="12">
        <v>87</v>
      </c>
      <c r="F82" s="12">
        <v>87</v>
      </c>
      <c r="G82" s="12">
        <v>87</v>
      </c>
      <c r="H82" s="12">
        <v>87</v>
      </c>
      <c r="I82" s="12">
        <v>92</v>
      </c>
      <c r="J82" s="12">
        <v>92</v>
      </c>
      <c r="K82" s="12">
        <v>92</v>
      </c>
      <c r="L82" s="12">
        <v>92</v>
      </c>
      <c r="M82" s="12">
        <v>84</v>
      </c>
      <c r="N82" s="12">
        <v>84</v>
      </c>
      <c r="O82" s="12">
        <v>84</v>
      </c>
      <c r="P82" s="12">
        <v>84</v>
      </c>
      <c r="Q82" s="12">
        <v>97</v>
      </c>
      <c r="R82" s="12">
        <v>97</v>
      </c>
      <c r="S82" s="12">
        <v>97</v>
      </c>
      <c r="T82" s="12">
        <v>97</v>
      </c>
      <c r="U82" s="12">
        <v>93</v>
      </c>
      <c r="V82" s="12">
        <v>93</v>
      </c>
      <c r="W82" s="12">
        <v>93</v>
      </c>
      <c r="X82" s="12">
        <v>93</v>
      </c>
    </row>
    <row r="83" spans="1:24" x14ac:dyDescent="0.45">
      <c r="A83" s="11" t="s">
        <v>150</v>
      </c>
      <c r="B83" s="12" t="s">
        <v>85</v>
      </c>
      <c r="C83" s="12">
        <v>95</v>
      </c>
      <c r="D83" s="12">
        <v>95</v>
      </c>
      <c r="E83" s="12">
        <v>74</v>
      </c>
      <c r="F83" s="12">
        <v>74</v>
      </c>
      <c r="G83" s="12">
        <v>74</v>
      </c>
      <c r="H83" s="12">
        <v>74</v>
      </c>
      <c r="I83" s="12">
        <v>79</v>
      </c>
      <c r="J83" s="12">
        <v>79</v>
      </c>
      <c r="K83" s="12">
        <v>79</v>
      </c>
      <c r="L83" s="12">
        <v>79</v>
      </c>
      <c r="M83" s="12" t="s">
        <v>124</v>
      </c>
      <c r="N83" s="12" t="s">
        <v>124</v>
      </c>
      <c r="O83" s="12" t="s">
        <v>124</v>
      </c>
      <c r="P83" s="12" t="s">
        <v>124</v>
      </c>
      <c r="Q83" s="12">
        <v>90</v>
      </c>
      <c r="R83" s="12">
        <v>90</v>
      </c>
      <c r="S83" s="12">
        <v>90</v>
      </c>
      <c r="T83" s="12">
        <v>90</v>
      </c>
      <c r="U83" s="12">
        <v>92</v>
      </c>
      <c r="V83" s="12">
        <v>92</v>
      </c>
      <c r="W83" s="12">
        <v>92</v>
      </c>
      <c r="X83" s="12">
        <v>92</v>
      </c>
    </row>
    <row r="84" spans="1:24" x14ac:dyDescent="0.45">
      <c r="A84" s="11" t="s">
        <v>150</v>
      </c>
      <c r="B84" s="12" t="s">
        <v>92</v>
      </c>
      <c r="C84" s="12">
        <v>98.75</v>
      </c>
      <c r="D84" s="12">
        <v>98.75</v>
      </c>
      <c r="E84" s="12">
        <v>93</v>
      </c>
      <c r="F84" s="12">
        <v>93</v>
      </c>
      <c r="G84" s="12">
        <v>93</v>
      </c>
      <c r="H84" s="12">
        <v>93</v>
      </c>
      <c r="I84" s="12">
        <v>94</v>
      </c>
      <c r="J84" s="12">
        <v>94</v>
      </c>
      <c r="K84" s="12">
        <v>94</v>
      </c>
      <c r="L84" s="12">
        <v>94</v>
      </c>
      <c r="M84" s="12">
        <v>94</v>
      </c>
      <c r="N84" s="12">
        <v>94</v>
      </c>
      <c r="O84" s="12">
        <v>94</v>
      </c>
      <c r="P84" s="12">
        <v>94</v>
      </c>
      <c r="Q84" s="13"/>
      <c r="R84" s="13"/>
      <c r="S84" s="13"/>
      <c r="T84" s="13"/>
      <c r="U84" s="12">
        <v>94</v>
      </c>
      <c r="V84" s="12">
        <v>94</v>
      </c>
      <c r="W84" s="12">
        <v>94</v>
      </c>
      <c r="X84" s="12">
        <v>94</v>
      </c>
    </row>
    <row r="85" spans="1:24" x14ac:dyDescent="0.45">
      <c r="A85" s="11" t="s">
        <v>150</v>
      </c>
      <c r="B85" s="12" t="s">
        <v>88</v>
      </c>
      <c r="C85" s="12">
        <v>96.25</v>
      </c>
      <c r="D85" s="12">
        <v>96.25</v>
      </c>
      <c r="E85" s="12">
        <v>89</v>
      </c>
      <c r="F85" s="12">
        <v>89</v>
      </c>
      <c r="G85" s="12">
        <v>89</v>
      </c>
      <c r="H85" s="12">
        <v>89</v>
      </c>
      <c r="I85" s="12">
        <v>94</v>
      </c>
      <c r="J85" s="12">
        <v>94</v>
      </c>
      <c r="K85" s="12">
        <v>94</v>
      </c>
      <c r="L85" s="12">
        <v>94</v>
      </c>
      <c r="M85" s="12">
        <v>94</v>
      </c>
      <c r="N85" s="12">
        <v>94</v>
      </c>
      <c r="O85" s="12">
        <v>94</v>
      </c>
      <c r="P85" s="12">
        <v>94</v>
      </c>
      <c r="Q85" s="12">
        <v>87</v>
      </c>
      <c r="R85" s="12">
        <v>87</v>
      </c>
      <c r="S85" s="12">
        <v>87</v>
      </c>
      <c r="T85" s="12">
        <v>87</v>
      </c>
      <c r="U85" s="12">
        <v>96</v>
      </c>
      <c r="V85" s="12">
        <v>96</v>
      </c>
      <c r="W85" s="12">
        <v>96</v>
      </c>
      <c r="X85" s="12">
        <v>96</v>
      </c>
    </row>
    <row r="86" spans="1:24" x14ac:dyDescent="0.45">
      <c r="A86" s="11" t="s">
        <v>150</v>
      </c>
      <c r="B86" s="12" t="s">
        <v>90</v>
      </c>
      <c r="C86" s="12">
        <v>95</v>
      </c>
      <c r="D86" s="12">
        <v>95</v>
      </c>
      <c r="E86" s="12">
        <v>90</v>
      </c>
      <c r="F86" s="12">
        <v>90</v>
      </c>
      <c r="G86" s="12">
        <v>90</v>
      </c>
      <c r="H86" s="12">
        <v>90</v>
      </c>
      <c r="I86" s="12">
        <v>94</v>
      </c>
      <c r="J86" s="12">
        <v>94</v>
      </c>
      <c r="K86" s="12">
        <v>94</v>
      </c>
      <c r="L86" s="12">
        <v>94</v>
      </c>
      <c r="M86" s="12">
        <v>96</v>
      </c>
      <c r="N86" s="12">
        <v>96</v>
      </c>
      <c r="O86" s="12">
        <v>96</v>
      </c>
      <c r="P86" s="12">
        <v>96</v>
      </c>
      <c r="Q86" s="12">
        <v>90</v>
      </c>
      <c r="R86" s="12">
        <v>90</v>
      </c>
      <c r="S86" s="12">
        <v>90</v>
      </c>
      <c r="T86" s="12">
        <v>90</v>
      </c>
      <c r="U86" s="12">
        <v>91</v>
      </c>
      <c r="V86" s="12">
        <v>91</v>
      </c>
      <c r="W86" s="12">
        <v>91</v>
      </c>
      <c r="X86" s="12">
        <v>91</v>
      </c>
    </row>
    <row r="87" spans="1:24" x14ac:dyDescent="0.45">
      <c r="A87" s="11" t="s">
        <v>150</v>
      </c>
      <c r="B87" s="12" t="s">
        <v>91</v>
      </c>
      <c r="C87" s="12">
        <v>97.5</v>
      </c>
      <c r="D87" s="12">
        <v>97.5</v>
      </c>
      <c r="E87" s="12">
        <v>95</v>
      </c>
      <c r="F87" s="12">
        <v>95</v>
      </c>
      <c r="G87" s="12">
        <v>95</v>
      </c>
      <c r="H87" s="12">
        <v>95</v>
      </c>
      <c r="I87" s="12">
        <v>95</v>
      </c>
      <c r="J87" s="12">
        <v>95</v>
      </c>
      <c r="K87" s="12">
        <v>95</v>
      </c>
      <c r="L87" s="12">
        <v>95</v>
      </c>
      <c r="M87" s="12" t="s">
        <v>124</v>
      </c>
      <c r="N87" s="12" t="s">
        <v>124</v>
      </c>
      <c r="O87" s="12" t="s">
        <v>124</v>
      </c>
      <c r="P87" s="12" t="s">
        <v>124</v>
      </c>
      <c r="Q87" s="12">
        <v>97</v>
      </c>
      <c r="R87" s="12">
        <v>97</v>
      </c>
      <c r="S87" s="12">
        <v>97</v>
      </c>
      <c r="T87" s="12">
        <v>97</v>
      </c>
      <c r="U87" s="12">
        <v>93</v>
      </c>
      <c r="V87" s="12">
        <v>93</v>
      </c>
      <c r="W87" s="12">
        <v>93</v>
      </c>
      <c r="X87" s="12">
        <v>93</v>
      </c>
    </row>
    <row r="88" spans="1:24" x14ac:dyDescent="0.45">
      <c r="A88" s="11" t="s">
        <v>150</v>
      </c>
      <c r="B88" s="12" t="s">
        <v>80</v>
      </c>
      <c r="C88" s="12">
        <v>98.75</v>
      </c>
      <c r="D88" s="12">
        <v>98.75</v>
      </c>
      <c r="E88" s="12">
        <v>87</v>
      </c>
      <c r="F88" s="12">
        <v>87</v>
      </c>
      <c r="G88" s="12">
        <v>87</v>
      </c>
      <c r="H88" s="12">
        <v>87</v>
      </c>
      <c r="I88" s="12">
        <v>91</v>
      </c>
      <c r="J88" s="12">
        <v>91</v>
      </c>
      <c r="K88" s="12">
        <v>91</v>
      </c>
      <c r="L88" s="12">
        <v>91</v>
      </c>
      <c r="M88" s="12">
        <v>87</v>
      </c>
      <c r="N88" s="12">
        <v>87</v>
      </c>
      <c r="O88" s="12">
        <v>87</v>
      </c>
      <c r="P88" s="12">
        <v>87</v>
      </c>
      <c r="Q88" s="12">
        <v>85</v>
      </c>
      <c r="R88" s="12">
        <v>85</v>
      </c>
      <c r="S88" s="12">
        <v>85</v>
      </c>
      <c r="T88" s="12">
        <v>85</v>
      </c>
      <c r="U88" s="12">
        <v>87</v>
      </c>
      <c r="V88" s="12">
        <v>87</v>
      </c>
      <c r="W88" s="12">
        <v>87</v>
      </c>
      <c r="X88" s="12">
        <v>87</v>
      </c>
    </row>
    <row r="89" spans="1:24" x14ac:dyDescent="0.45">
      <c r="A89" s="11" t="s">
        <v>150</v>
      </c>
      <c r="B89" s="12" t="s">
        <v>82</v>
      </c>
      <c r="C89" s="12">
        <v>87.5</v>
      </c>
      <c r="D89" s="12">
        <v>87.5</v>
      </c>
      <c r="E89" s="12">
        <v>93</v>
      </c>
      <c r="F89" s="12">
        <v>93</v>
      </c>
      <c r="G89" s="12">
        <v>93</v>
      </c>
      <c r="H89" s="12">
        <v>93</v>
      </c>
      <c r="I89" s="12">
        <v>96</v>
      </c>
      <c r="J89" s="12">
        <v>96</v>
      </c>
      <c r="K89" s="12">
        <v>96</v>
      </c>
      <c r="L89" s="12">
        <v>96</v>
      </c>
      <c r="M89" s="12">
        <v>88</v>
      </c>
      <c r="N89" s="12">
        <v>88</v>
      </c>
      <c r="O89" s="12">
        <v>88</v>
      </c>
      <c r="P89" s="12">
        <v>88</v>
      </c>
      <c r="Q89" s="12">
        <v>90</v>
      </c>
      <c r="R89" s="12">
        <v>90</v>
      </c>
      <c r="S89" s="12">
        <v>90</v>
      </c>
      <c r="T89" s="12">
        <v>90</v>
      </c>
      <c r="U89" s="12">
        <v>94</v>
      </c>
      <c r="V89" s="12">
        <v>94</v>
      </c>
      <c r="W89" s="12">
        <v>94</v>
      </c>
      <c r="X89" s="12">
        <v>94</v>
      </c>
    </row>
    <row r="90" spans="1:24" x14ac:dyDescent="0.45">
      <c r="A90" s="11" t="s">
        <v>150</v>
      </c>
      <c r="B90" s="12" t="s">
        <v>158</v>
      </c>
      <c r="C90" s="12">
        <v>83.75</v>
      </c>
      <c r="D90" s="12">
        <v>83.75</v>
      </c>
      <c r="E90" s="12">
        <v>78</v>
      </c>
      <c r="F90" s="12">
        <v>78</v>
      </c>
      <c r="G90" s="12">
        <v>78</v>
      </c>
      <c r="H90" s="12">
        <v>78</v>
      </c>
      <c r="I90" s="12">
        <v>80</v>
      </c>
      <c r="J90" s="12">
        <v>80</v>
      </c>
      <c r="K90" s="12">
        <v>80</v>
      </c>
      <c r="L90" s="12">
        <v>80</v>
      </c>
      <c r="M90" s="11"/>
      <c r="N90" s="11"/>
      <c r="O90" s="11"/>
      <c r="P90" s="11"/>
      <c r="Q90" s="11"/>
      <c r="R90" s="11"/>
      <c r="S90" s="11"/>
      <c r="T90" s="11"/>
      <c r="U90" s="11"/>
      <c r="V90" s="11"/>
      <c r="W90" s="11"/>
      <c r="X90" s="11"/>
    </row>
    <row r="91" spans="1:24" x14ac:dyDescent="0.45">
      <c r="A91" s="11" t="s">
        <v>150</v>
      </c>
      <c r="B91" s="12" t="s">
        <v>84</v>
      </c>
      <c r="C91" s="12">
        <v>90</v>
      </c>
      <c r="D91" s="12">
        <v>90</v>
      </c>
      <c r="E91" s="12">
        <v>77</v>
      </c>
      <c r="F91" s="12">
        <v>77</v>
      </c>
      <c r="G91" s="12">
        <v>77</v>
      </c>
      <c r="H91" s="12">
        <v>77</v>
      </c>
      <c r="I91" s="12">
        <v>75</v>
      </c>
      <c r="J91" s="12">
        <v>75</v>
      </c>
      <c r="K91" s="12">
        <v>75</v>
      </c>
      <c r="L91" s="12">
        <v>75</v>
      </c>
      <c r="M91" s="12">
        <v>88</v>
      </c>
      <c r="N91" s="12">
        <v>88</v>
      </c>
      <c r="O91" s="12">
        <v>88</v>
      </c>
      <c r="P91" s="12">
        <v>88</v>
      </c>
      <c r="Q91" s="12">
        <v>76</v>
      </c>
      <c r="R91" s="12">
        <v>76</v>
      </c>
      <c r="S91" s="12">
        <v>76</v>
      </c>
      <c r="T91" s="12">
        <v>76</v>
      </c>
      <c r="U91" s="12">
        <v>85</v>
      </c>
      <c r="V91" s="12">
        <v>85</v>
      </c>
      <c r="W91" s="12">
        <v>85</v>
      </c>
      <c r="X91" s="12">
        <v>85</v>
      </c>
    </row>
    <row r="92" spans="1:24" ht="18" thickBot="1" x14ac:dyDescent="0.5">
      <c r="A92" s="11" t="s">
        <v>150</v>
      </c>
      <c r="B92" s="12" t="s">
        <v>81</v>
      </c>
      <c r="C92" s="12">
        <v>86.25</v>
      </c>
      <c r="D92" s="12">
        <v>86.25</v>
      </c>
      <c r="E92" s="12">
        <v>80</v>
      </c>
      <c r="F92" s="12">
        <v>80</v>
      </c>
      <c r="G92" s="12">
        <v>80</v>
      </c>
      <c r="H92" s="12">
        <v>80</v>
      </c>
      <c r="I92" s="12">
        <v>79</v>
      </c>
      <c r="J92" s="12">
        <v>79</v>
      </c>
      <c r="K92" s="12">
        <v>79</v>
      </c>
      <c r="L92" s="12">
        <v>79</v>
      </c>
      <c r="M92" s="12">
        <v>88</v>
      </c>
      <c r="N92" s="12">
        <v>88</v>
      </c>
      <c r="O92" s="12">
        <v>88</v>
      </c>
      <c r="P92" s="12">
        <v>88</v>
      </c>
      <c r="Q92" s="12">
        <v>84</v>
      </c>
      <c r="R92" s="12">
        <v>84</v>
      </c>
      <c r="S92" s="12">
        <v>84</v>
      </c>
      <c r="T92" s="12">
        <v>84</v>
      </c>
      <c r="U92" s="12">
        <v>86</v>
      </c>
      <c r="V92" s="12">
        <v>86</v>
      </c>
      <c r="W92" s="12">
        <v>86</v>
      </c>
      <c r="X92" s="12">
        <v>86</v>
      </c>
    </row>
    <row r="93" spans="1:24" ht="18" thickBot="1" x14ac:dyDescent="0.5">
      <c r="A93" s="17" t="s">
        <v>159</v>
      </c>
      <c r="B93" s="19" t="s">
        <v>72</v>
      </c>
      <c r="C93" s="14">
        <v>97.5</v>
      </c>
      <c r="D93" s="14">
        <v>97.5</v>
      </c>
      <c r="E93" s="14">
        <v>99</v>
      </c>
      <c r="F93" s="14">
        <v>99</v>
      </c>
      <c r="G93" s="14">
        <v>99</v>
      </c>
      <c r="H93" s="14">
        <v>99</v>
      </c>
      <c r="I93" s="14">
        <v>95</v>
      </c>
      <c r="J93" s="14">
        <v>95</v>
      </c>
      <c r="K93" s="14">
        <v>95</v>
      </c>
      <c r="L93" s="14">
        <v>95</v>
      </c>
      <c r="M93" s="15">
        <v>96</v>
      </c>
      <c r="N93" s="15">
        <v>96</v>
      </c>
      <c r="O93" s="15">
        <v>96</v>
      </c>
      <c r="P93" s="15">
        <v>96</v>
      </c>
      <c r="Q93" s="15">
        <v>98</v>
      </c>
      <c r="R93" s="15">
        <v>98</v>
      </c>
      <c r="S93" s="15">
        <v>98</v>
      </c>
      <c r="T93" s="15">
        <v>98</v>
      </c>
      <c r="U93" s="15">
        <v>96</v>
      </c>
      <c r="V93" s="15">
        <v>96</v>
      </c>
      <c r="W93" s="15">
        <v>96</v>
      </c>
      <c r="X93" s="15">
        <v>96</v>
      </c>
    </row>
    <row r="94" spans="1:24" ht="18" thickBot="1" x14ac:dyDescent="0.5">
      <c r="A94" s="17" t="s">
        <v>159</v>
      </c>
      <c r="B94" s="19" t="s">
        <v>69</v>
      </c>
      <c r="C94" s="14">
        <v>98.75</v>
      </c>
      <c r="D94" s="14">
        <v>98.75</v>
      </c>
      <c r="E94" s="14">
        <v>97</v>
      </c>
      <c r="F94" s="14">
        <v>97</v>
      </c>
      <c r="G94" s="14">
        <v>97</v>
      </c>
      <c r="H94" s="14">
        <v>97</v>
      </c>
      <c r="I94" s="14">
        <v>95</v>
      </c>
      <c r="J94" s="14">
        <v>95</v>
      </c>
      <c r="K94" s="14">
        <v>95</v>
      </c>
      <c r="L94" s="14">
        <v>95</v>
      </c>
      <c r="M94" s="16">
        <v>95</v>
      </c>
      <c r="N94" s="16">
        <v>95</v>
      </c>
      <c r="O94" s="16">
        <v>95</v>
      </c>
      <c r="P94" s="16">
        <v>95</v>
      </c>
      <c r="Q94" s="16">
        <v>98</v>
      </c>
      <c r="R94" s="16">
        <v>98</v>
      </c>
      <c r="S94" s="16">
        <v>98</v>
      </c>
      <c r="T94" s="16">
        <v>98</v>
      </c>
      <c r="U94" s="16">
        <v>93</v>
      </c>
      <c r="V94" s="16">
        <v>93</v>
      </c>
      <c r="W94" s="16">
        <v>93</v>
      </c>
      <c r="X94" s="16">
        <v>93</v>
      </c>
    </row>
    <row r="95" spans="1:24" ht="18" thickBot="1" x14ac:dyDescent="0.5">
      <c r="A95" s="17" t="s">
        <v>159</v>
      </c>
      <c r="B95" s="19" t="s">
        <v>68</v>
      </c>
      <c r="C95" s="14">
        <v>98.75</v>
      </c>
      <c r="D95" s="14">
        <v>98.75</v>
      </c>
      <c r="E95" s="14">
        <v>92</v>
      </c>
      <c r="F95" s="14">
        <v>92</v>
      </c>
      <c r="G95" s="14">
        <v>92</v>
      </c>
      <c r="H95" s="14">
        <v>92</v>
      </c>
      <c r="I95" s="14">
        <v>90</v>
      </c>
      <c r="J95" s="14">
        <v>90</v>
      </c>
      <c r="K95" s="14">
        <v>90</v>
      </c>
      <c r="L95" s="14">
        <v>90</v>
      </c>
      <c r="M95" s="16">
        <v>82</v>
      </c>
      <c r="N95" s="16">
        <v>82</v>
      </c>
      <c r="O95" s="16">
        <v>82</v>
      </c>
      <c r="P95" s="16">
        <v>82</v>
      </c>
      <c r="Q95" s="16">
        <v>95</v>
      </c>
      <c r="R95" s="16">
        <v>95</v>
      </c>
      <c r="S95" s="16">
        <v>95</v>
      </c>
      <c r="T95" s="16">
        <v>95</v>
      </c>
      <c r="U95" s="16">
        <v>99</v>
      </c>
      <c r="V95" s="16">
        <v>99</v>
      </c>
      <c r="W95" s="16">
        <v>99</v>
      </c>
      <c r="X95" s="16">
        <v>99</v>
      </c>
    </row>
    <row r="96" spans="1:24" ht="18" thickBot="1" x14ac:dyDescent="0.5">
      <c r="A96" s="17" t="s">
        <v>159</v>
      </c>
      <c r="B96" s="19" t="s">
        <v>70</v>
      </c>
      <c r="C96" s="14">
        <v>95</v>
      </c>
      <c r="D96" s="14">
        <v>95</v>
      </c>
      <c r="E96" s="14">
        <v>90</v>
      </c>
      <c r="F96" s="14">
        <v>90</v>
      </c>
      <c r="G96" s="14">
        <v>90</v>
      </c>
      <c r="H96" s="14">
        <v>90</v>
      </c>
      <c r="I96" s="14">
        <v>95</v>
      </c>
      <c r="J96" s="14">
        <v>95</v>
      </c>
      <c r="K96" s="14">
        <v>95</v>
      </c>
      <c r="L96" s="14">
        <v>95</v>
      </c>
      <c r="M96" s="16">
        <v>95</v>
      </c>
      <c r="N96" s="16">
        <v>95</v>
      </c>
      <c r="O96" s="16">
        <v>95</v>
      </c>
      <c r="P96" s="16">
        <v>95</v>
      </c>
      <c r="Q96" s="16">
        <v>93</v>
      </c>
      <c r="R96" s="16">
        <v>93</v>
      </c>
      <c r="S96" s="16">
        <v>93</v>
      </c>
      <c r="T96" s="16">
        <v>93</v>
      </c>
      <c r="U96" s="16"/>
      <c r="V96" s="16"/>
      <c r="W96" s="16"/>
      <c r="X96" s="16"/>
    </row>
    <row r="97" spans="1:24" ht="18" thickBot="1" x14ac:dyDescent="0.5">
      <c r="A97" s="17" t="s">
        <v>159</v>
      </c>
      <c r="B97" s="14" t="s">
        <v>161</v>
      </c>
      <c r="C97" s="14" t="s">
        <v>123</v>
      </c>
      <c r="D97" s="14" t="s">
        <v>123</v>
      </c>
      <c r="E97" s="14">
        <v>85</v>
      </c>
      <c r="F97" s="14">
        <v>85</v>
      </c>
      <c r="G97" s="14">
        <v>85</v>
      </c>
      <c r="H97" s="14">
        <v>85</v>
      </c>
      <c r="I97" s="14">
        <v>87</v>
      </c>
      <c r="J97" s="14">
        <v>87</v>
      </c>
      <c r="K97" s="14">
        <v>87</v>
      </c>
      <c r="L97" s="14">
        <v>87</v>
      </c>
      <c r="M97" s="16">
        <v>88</v>
      </c>
      <c r="N97" s="16">
        <v>88</v>
      </c>
      <c r="O97" s="16">
        <v>88</v>
      </c>
      <c r="P97" s="16">
        <v>88</v>
      </c>
      <c r="Q97" s="16">
        <v>81</v>
      </c>
      <c r="R97" s="16">
        <v>81</v>
      </c>
      <c r="S97" s="16">
        <v>81</v>
      </c>
      <c r="T97" s="16">
        <v>81</v>
      </c>
      <c r="U97" s="18"/>
      <c r="V97" s="18"/>
      <c r="W97" s="18"/>
      <c r="X97" s="18"/>
    </row>
    <row r="98" spans="1:24" ht="18" thickBot="1" x14ac:dyDescent="0.5">
      <c r="A98" s="17" t="s">
        <v>159</v>
      </c>
      <c r="B98" s="14" t="s">
        <v>162</v>
      </c>
      <c r="C98" s="14">
        <v>98.75</v>
      </c>
      <c r="D98" s="14">
        <v>98.75</v>
      </c>
      <c r="E98" s="14">
        <v>99</v>
      </c>
      <c r="F98" s="14">
        <v>99</v>
      </c>
      <c r="G98" s="14">
        <v>99</v>
      </c>
      <c r="H98" s="14">
        <v>99</v>
      </c>
      <c r="I98" s="14">
        <v>99</v>
      </c>
      <c r="J98" s="14">
        <v>99</v>
      </c>
      <c r="K98" s="14">
        <v>99</v>
      </c>
      <c r="L98" s="14">
        <v>99</v>
      </c>
      <c r="M98" s="17"/>
      <c r="N98" s="17"/>
      <c r="O98" s="17"/>
      <c r="P98" s="17"/>
      <c r="Q98" s="17"/>
      <c r="R98" s="17"/>
      <c r="S98" s="17"/>
      <c r="T98" s="17"/>
      <c r="U98" s="17"/>
      <c r="V98" s="17"/>
      <c r="W98" s="17"/>
      <c r="X98" s="17"/>
    </row>
    <row r="99" spans="1:24" ht="18" thickBot="1" x14ac:dyDescent="0.5">
      <c r="A99" s="17" t="s">
        <v>159</v>
      </c>
      <c r="B99" s="19" t="s">
        <v>71</v>
      </c>
      <c r="C99" s="14">
        <v>95</v>
      </c>
      <c r="D99" s="14">
        <v>95</v>
      </c>
      <c r="E99" s="14">
        <v>93</v>
      </c>
      <c r="F99" s="14">
        <v>93</v>
      </c>
      <c r="G99" s="14">
        <v>93</v>
      </c>
      <c r="H99" s="14">
        <v>93</v>
      </c>
      <c r="I99" s="14">
        <v>93</v>
      </c>
      <c r="J99" s="14">
        <v>93</v>
      </c>
      <c r="K99" s="14">
        <v>93</v>
      </c>
      <c r="L99" s="14">
        <v>93</v>
      </c>
      <c r="M99" s="16">
        <v>99</v>
      </c>
      <c r="N99" s="16">
        <v>99</v>
      </c>
      <c r="O99" s="16">
        <v>99</v>
      </c>
      <c r="P99" s="16">
        <v>99</v>
      </c>
      <c r="Q99" s="16">
        <v>89</v>
      </c>
      <c r="R99" s="16">
        <v>89</v>
      </c>
      <c r="S99" s="16">
        <v>89</v>
      </c>
      <c r="T99" s="16">
        <v>89</v>
      </c>
      <c r="U99" s="16">
        <v>98</v>
      </c>
      <c r="V99" s="16">
        <v>98</v>
      </c>
      <c r="W99" s="16">
        <v>98</v>
      </c>
      <c r="X99" s="16">
        <v>98</v>
      </c>
    </row>
    <row r="100" spans="1:24" ht="18" thickBot="1" x14ac:dyDescent="0.5">
      <c r="A100" s="17" t="s">
        <v>159</v>
      </c>
      <c r="B100" s="14" t="s">
        <v>163</v>
      </c>
      <c r="C100" s="14">
        <v>96.25</v>
      </c>
      <c r="D100" s="14">
        <v>96.25</v>
      </c>
      <c r="E100" s="14">
        <v>93</v>
      </c>
      <c r="F100" s="14">
        <v>93</v>
      </c>
      <c r="G100" s="14">
        <v>93</v>
      </c>
      <c r="H100" s="14">
        <v>93</v>
      </c>
      <c r="I100" s="14">
        <v>93</v>
      </c>
      <c r="J100" s="14">
        <v>93</v>
      </c>
      <c r="K100" s="14">
        <v>93</v>
      </c>
      <c r="L100" s="14">
        <v>93</v>
      </c>
      <c r="M100" s="17"/>
      <c r="N100" s="17"/>
      <c r="O100" s="17"/>
      <c r="P100" s="17"/>
      <c r="Q100" s="17"/>
      <c r="R100" s="17"/>
      <c r="S100" s="17"/>
      <c r="T100" s="17"/>
      <c r="U100" s="17"/>
      <c r="V100" s="17"/>
      <c r="W100" s="17"/>
      <c r="X100" s="17"/>
    </row>
    <row r="101" spans="1:24" ht="18" thickBot="1" x14ac:dyDescent="0.5">
      <c r="A101" s="17" t="s">
        <v>159</v>
      </c>
      <c r="B101" s="19" t="s">
        <v>65</v>
      </c>
      <c r="C101" s="14">
        <v>98.75</v>
      </c>
      <c r="D101" s="14">
        <v>98.75</v>
      </c>
      <c r="E101" s="14">
        <v>97</v>
      </c>
      <c r="F101" s="14">
        <v>97</v>
      </c>
      <c r="G101" s="14">
        <v>97</v>
      </c>
      <c r="H101" s="14">
        <v>97</v>
      </c>
      <c r="I101" s="14">
        <v>95</v>
      </c>
      <c r="J101" s="14">
        <v>95</v>
      </c>
      <c r="K101" s="14">
        <v>95</v>
      </c>
      <c r="L101" s="14">
        <v>95</v>
      </c>
      <c r="M101" s="16">
        <v>99</v>
      </c>
      <c r="N101" s="16">
        <v>99</v>
      </c>
      <c r="O101" s="16">
        <v>99</v>
      </c>
      <c r="P101" s="16">
        <v>99</v>
      </c>
      <c r="Q101" s="16">
        <v>92</v>
      </c>
      <c r="R101" s="16">
        <v>92</v>
      </c>
      <c r="S101" s="16">
        <v>92</v>
      </c>
      <c r="T101" s="16">
        <v>92</v>
      </c>
      <c r="U101" s="16">
        <v>98</v>
      </c>
      <c r="V101" s="16">
        <v>98</v>
      </c>
      <c r="W101" s="16">
        <v>98</v>
      </c>
      <c r="X101" s="16">
        <v>98</v>
      </c>
    </row>
    <row r="102" spans="1:24" ht="18" thickBot="1" x14ac:dyDescent="0.5">
      <c r="A102" s="17" t="s">
        <v>159</v>
      </c>
      <c r="B102" s="14" t="s">
        <v>160</v>
      </c>
      <c r="C102" s="14">
        <v>92.5</v>
      </c>
      <c r="D102" s="14">
        <v>92.5</v>
      </c>
      <c r="E102" s="14">
        <v>83</v>
      </c>
      <c r="F102" s="14">
        <v>83</v>
      </c>
      <c r="G102" s="14">
        <v>83</v>
      </c>
      <c r="H102" s="14">
        <v>83</v>
      </c>
      <c r="I102" s="14">
        <v>90</v>
      </c>
      <c r="J102" s="14">
        <v>90</v>
      </c>
      <c r="K102" s="14">
        <v>90</v>
      </c>
      <c r="L102" s="14">
        <v>90</v>
      </c>
      <c r="M102" s="17"/>
      <c r="N102" s="17"/>
      <c r="O102" s="17"/>
      <c r="P102" s="17"/>
      <c r="Q102" s="17"/>
      <c r="R102" s="17"/>
      <c r="S102" s="17"/>
      <c r="T102" s="17"/>
      <c r="U102" s="17"/>
      <c r="V102" s="17"/>
      <c r="W102" s="17"/>
      <c r="X102" s="17"/>
    </row>
    <row r="103" spans="1:24" ht="18" thickBot="1" x14ac:dyDescent="0.5">
      <c r="A103" s="17" t="s">
        <v>159</v>
      </c>
      <c r="B103" s="19" t="s">
        <v>66</v>
      </c>
      <c r="C103" s="14">
        <v>100</v>
      </c>
      <c r="D103" s="14">
        <v>100</v>
      </c>
      <c r="E103" s="14">
        <v>100</v>
      </c>
      <c r="F103" s="14">
        <v>100</v>
      </c>
      <c r="G103" s="14">
        <v>100</v>
      </c>
      <c r="H103" s="14">
        <v>100</v>
      </c>
      <c r="I103" s="14">
        <v>99</v>
      </c>
      <c r="J103" s="14">
        <v>99</v>
      </c>
      <c r="K103" s="14">
        <v>99</v>
      </c>
      <c r="L103" s="14">
        <v>99</v>
      </c>
      <c r="M103" s="16">
        <v>96</v>
      </c>
      <c r="N103" s="16">
        <v>96</v>
      </c>
      <c r="O103" s="16">
        <v>96</v>
      </c>
      <c r="P103" s="16">
        <v>96</v>
      </c>
      <c r="Q103" s="16">
        <v>98</v>
      </c>
      <c r="R103" s="16">
        <v>98</v>
      </c>
      <c r="S103" s="16">
        <v>98</v>
      </c>
      <c r="T103" s="16">
        <v>98</v>
      </c>
      <c r="U103" s="16">
        <v>96</v>
      </c>
      <c r="V103" s="16">
        <v>96</v>
      </c>
      <c r="W103" s="16">
        <v>96</v>
      </c>
      <c r="X103" s="16">
        <v>96</v>
      </c>
    </row>
    <row r="104" spans="1:24" x14ac:dyDescent="0.45">
      <c r="A104" s="17" t="s">
        <v>159</v>
      </c>
      <c r="B104" s="19" t="s">
        <v>67</v>
      </c>
      <c r="C104" s="19"/>
      <c r="D104" s="19"/>
      <c r="E104" s="19"/>
      <c r="F104" s="19"/>
      <c r="G104" s="19"/>
      <c r="H104" s="19"/>
      <c r="I104" s="19"/>
      <c r="J104" s="19"/>
      <c r="K104" s="19"/>
      <c r="L104" s="19"/>
      <c r="M104" s="19"/>
      <c r="N104" s="19"/>
      <c r="O104" s="19"/>
      <c r="P104" s="19"/>
      <c r="Q104" s="19"/>
      <c r="R104" s="19"/>
      <c r="S104" s="19"/>
      <c r="T104" s="19"/>
      <c r="U104" s="19"/>
      <c r="V104" s="19"/>
      <c r="W104" s="19"/>
      <c r="X104" s="1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1</vt:i4>
      </vt:variant>
    </vt:vector>
  </HeadingPairs>
  <TitlesOfParts>
    <vt:vector size="17" baseType="lpstr">
      <vt:lpstr>문법유형</vt:lpstr>
      <vt:lpstr>중1FO(문법주관식)</vt:lpstr>
      <vt:lpstr>중1INTER(문법주관식)</vt:lpstr>
      <vt:lpstr>중1AD(문법주관식)</vt:lpstr>
      <vt:lpstr>중1IVY(문법주관식)</vt:lpstr>
      <vt:lpstr>중1FO(단어누적)</vt:lpstr>
      <vt:lpstr>중1INTER(단어누적)</vt:lpstr>
      <vt:lpstr>중1AD(단어누적)</vt:lpstr>
      <vt:lpstr>중1IVY(단어누적)</vt:lpstr>
      <vt:lpstr>지침</vt:lpstr>
      <vt:lpstr>이름(명렬표)</vt:lpstr>
      <vt:lpstr>성적표(상담용)</vt:lpstr>
      <vt:lpstr>중1(문법)</vt:lpstr>
      <vt:lpstr>중1(문법)(영역별 성취도)</vt:lpstr>
      <vt:lpstr>중1(독해)</vt:lpstr>
      <vt:lpstr>중1(단어누적)</vt:lpstr>
      <vt:lpstr>이름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김우진</cp:lastModifiedBy>
  <dcterms:created xsi:type="dcterms:W3CDTF">2026-05-08T14:32:05Z</dcterms:created>
  <dcterms:modified xsi:type="dcterms:W3CDTF">2026-05-12T02:12:20Z</dcterms:modified>
</cp:coreProperties>
</file>